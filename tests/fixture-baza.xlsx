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заполнять" sheetId="1" state="visible" r:id="rId3"/>
    <sheet name="Банки" sheetId="2" state="visible" r:id="rId4"/>
    <sheet name="Программы" sheetId="3" state="visible" r:id="rId5"/>
    <sheet name="Справочники" sheetId="4" state="visible" r:id="rId6"/>
    <sheet name="Источники данных" sheetId="5" state="visible" r:id="rId7"/>
  </sheets>
  <definedNames>
    <definedName function="false" hidden="true" localSheetId="2" name="_xlnm._FilterDatabase" vbProcedure="false">Программы!$A$2:$T$202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<sst xmlns="http://schemas.openxmlformats.org/spreadsheetml/2006/main" count="207" uniqueCount="150">
  <si>
    <t xml:space="preserve">База условий банков</t>
  </si>
  <si>
    <t xml:space="preserve">Из этой таблицы потом будет питаться подбор программ в калькуляторе. Чем аккуратнее заполнена база, тем точнее подбор.</t>
  </si>
  <si>
    <t xml:space="preserve">Листы</t>
  </si>
  <si>
    <t xml:space="preserve">«Банки» — список банков, статус партнёрки и сколько программ уже внесено. «Программы» — по одной строке на один кредитный продукт. «Справочники» — списки для выпадающих меню.</t>
  </si>
  <si>
    <t xml:space="preserve">Что вносить в «Программы»</t>
  </si>
  <si>
    <t xml:space="preserve">Одна программа = одна строка. Если у банка ипотека на вторичку и на новостройку с разными ставками, это две строки.</t>
  </si>
  <si>
    <t xml:space="preserve">Откуда брать данные</t>
  </si>
  <si>
    <t xml:space="preserve">Только с официального сайта банка или из договора/оферты. Ссылку на страницу обязательно сохраняйте в колонке «Ссылка на источник». Рекламные заголовки вроде «от 6%» без условий не вносите.</t>
  </si>
  <si>
    <t xml:space="preserve">Ставка «от» и «до»</t>
  </si>
  <si>
    <t xml:space="preserve">Вносите диапазон, который банк указывает для программы. В колонке «Условия ставки» запишите, от чего зависит ставка: взнос, страховка, зарплатный клиент, тип объекта. Проценты вводите как проценты (18,5%), Excel сохранит их сам.</t>
  </si>
  <si>
    <t xml:space="preserve">«Можно под сдачу в аренду?»</t>
  </si>
  <si>
    <t xml:space="preserve">Это ключевая колонка для нашего сервиса. Многие программы выдаются только на жильё для проживания. Если в условиях не сказано прямо, ставьте «Уточнить» и спросите банк.</t>
  </si>
  <si>
    <t xml:space="preserve">Дата проверки</t>
  </si>
  <si>
    <t xml:space="preserve">Укажите день, когда вы смотрели условия. Колонка «Актуальность» сама подсветит строки, которые не обновлялись больше 14 дней. Ставки меняются часто, особенно после заседаний ЦБ.</t>
  </si>
  <si>
    <t xml:space="preserve">Серые колонки</t>
  </si>
  <si>
    <t xml:space="preserve">Заполняются формулами, их не трогайте.</t>
  </si>
  <si>
    <t xml:space="preserve">Первые три строки</t>
  </si>
  <si>
    <t xml:space="preserve">Сбербанк, Альфа-Банк и Совкомбанк внесены из агрегаторов (Финуслуги, myfin.by) с датами обновления их страниц. Это не первоисточник: сверяйте с сайтом банка. Формат строк можно копировать для новых программ.</t>
  </si>
  <si>
    <t xml:space="preserve">Порядок работы</t>
  </si>
  <si>
    <t xml:space="preserve">1) Возьмите первые 8 банков с приоритетом 1. 2) Для каждого найдите все программы на покупку жилья и коммерческой недвижимости. 3) Внесите их и сохраните ссылки. 4) Отметьте в «Банки», есть ли у банка партнёрская программа для приёма заявок.</t>
  </si>
  <si>
    <t xml:space="preserve">№</t>
  </si>
  <si>
    <t xml:space="preserve">Банк</t>
  </si>
  <si>
    <t xml:space="preserve">Сайт</t>
  </si>
  <si>
    <t xml:space="preserve">Приоритет</t>
  </si>
  <si>
    <t xml:space="preserve">Есть партнёрская программа?</t>
  </si>
  <si>
    <t xml:space="preserve">Контакт по партнёрке</t>
  </si>
  <si>
    <t xml:space="preserve">Программ в базе</t>
  </si>
  <si>
    <t xml:space="preserve">Заметки</t>
  </si>
  <si>
    <t xml:space="preserve">Сбербанк</t>
  </si>
  <si>
    <t xml:space="preserve">sberbank.ru</t>
  </si>
  <si>
    <t xml:space="preserve">1 (первыми)</t>
  </si>
  <si>
    <t xml:space="preserve">Не проверено</t>
  </si>
  <si>
    <t xml:space="preserve">ВТБ</t>
  </si>
  <si>
    <t xml:space="preserve">vtb.ru</t>
  </si>
  <si>
    <t xml:space="preserve">Альфа-Банк</t>
  </si>
  <si>
    <t xml:space="preserve">alfabank.ru</t>
  </si>
  <si>
    <t xml:space="preserve">Т-Банк</t>
  </si>
  <si>
    <t xml:space="preserve">tbank.ru</t>
  </si>
  <si>
    <t xml:space="preserve">Газпромбанк</t>
  </si>
  <si>
    <t xml:space="preserve">gazprombank.ru</t>
  </si>
  <si>
    <t xml:space="preserve">Банк ДОМ.РФ</t>
  </si>
  <si>
    <t xml:space="preserve">domrfbank.ru</t>
  </si>
  <si>
    <t xml:space="preserve">Россельхозбанк</t>
  </si>
  <si>
    <t xml:space="preserve">rshb.ru</t>
  </si>
  <si>
    <t xml:space="preserve">Совкомбанк</t>
  </si>
  <si>
    <t xml:space="preserve">sovcombank.ru</t>
  </si>
  <si>
    <t xml:space="preserve">ПСБ</t>
  </si>
  <si>
    <t xml:space="preserve">psbank.ru</t>
  </si>
  <si>
    <t xml:space="preserve">2 (потом)</t>
  </si>
  <si>
    <t xml:space="preserve">Банк «Открытие»</t>
  </si>
  <si>
    <t xml:space="preserve">open.ru</t>
  </si>
  <si>
    <t xml:space="preserve">Росбанк</t>
  </si>
  <si>
    <t xml:space="preserve">rosbank.ru</t>
  </si>
  <si>
    <t xml:space="preserve">Райффайзен Банк</t>
  </si>
  <si>
    <t xml:space="preserve">raiffeisen.ru</t>
  </si>
  <si>
    <t xml:space="preserve">Банк «Санкт-Петербург»</t>
  </si>
  <si>
    <t xml:space="preserve">bspb.ru</t>
  </si>
  <si>
    <t xml:space="preserve">Уралсиб</t>
  </si>
  <si>
    <t xml:space="preserve">uralsib.ru</t>
  </si>
  <si>
    <t xml:space="preserve">МТС Банк</t>
  </si>
  <si>
    <t xml:space="preserve">mtsbank.ru</t>
  </si>
  <si>
    <t xml:space="preserve">Список банков составлен как отправная точка: крупнейшие игроки рынка. Решение, кого оставить, принимайте по тому, какие программы реально подойдут под аренду и коммерцию.</t>
  </si>
  <si>
    <t xml:space="preserve">Одна строка = одна программа. Данные внесены из агрегаторов (дата в колонке «Дата проверки» — дата обновления на их странице). Перед публикацией сверяйте с сайтом банка. Серые колонки считаются сами.</t>
  </si>
  <si>
    <t xml:space="preserve">ID</t>
  </si>
  <si>
    <t xml:space="preserve">Название программы</t>
  </si>
  <si>
    <t xml:space="preserve">Тип объекта</t>
  </si>
  <si>
    <t xml:space="preserve">Тип заёмщика</t>
  </si>
  <si>
    <t xml:space="preserve">Рынок</t>
  </si>
  <si>
    <t xml:space="preserve">Ставка от</t>
  </si>
  <si>
    <t xml:space="preserve">Ставка до</t>
  </si>
  <si>
    <t xml:space="preserve">Условия ставки</t>
  </si>
  <si>
    <t xml:space="preserve">Взнос от</t>
  </si>
  <si>
    <t xml:space="preserve">Срок до, лет</t>
  </si>
  <si>
    <t xml:space="preserve">Сумма от, ₽</t>
  </si>
  <si>
    <t xml:space="preserve">Сумма до, ₽</t>
  </si>
  <si>
    <t xml:space="preserve">Можно под сдачу в аренду?</t>
  </si>
  <si>
    <t xml:space="preserve">Страховка обязательна?</t>
  </si>
  <si>
    <t xml:space="preserve">Комиссии и платежи</t>
  </si>
  <si>
    <t xml:space="preserve">Ссылка на источник</t>
  </si>
  <si>
    <t xml:space="preserve">Актуальность</t>
  </si>
  <si>
    <t xml:space="preserve">Примечания</t>
  </si>
  <si>
    <t xml:space="preserve">Коммерческая ипотека</t>
  </si>
  <si>
    <t xml:space="preserve">Коммерческое помещение</t>
  </si>
  <si>
    <t xml:space="preserve">Физлицо</t>
  </si>
  <si>
    <t xml:space="preserve">Рыночная</t>
  </si>
  <si>
    <t xml:space="preserve">21,2% первичный рынок, 22% вторичный. Скидка 1 п.п. зарплатным клиентам и 1 п.п. при взносе от 50%. ПСК 20,142–23,038%.</t>
  </si>
  <si>
    <t xml:space="preserve">Уточнить</t>
  </si>
  <si>
    <t xml:space="preserve">Да</t>
  </si>
  <si>
    <t xml:space="preserve">Комиссии на странице не указаны. Страхование имущества обязательно, личное по желанию.</t>
  </si>
  <si>
    <t xml:space="preserve">https://finuslugi.ru/ipoteka/sberbank_kommercheskaya_ipoteka</t>
  </si>
  <si>
    <t xml:space="preserve">Источник — Финуслуги, не сайт банка. В описании программы встречается слово «жильё», тип объекта уточнить. Заявка только на сайте банка.</t>
  </si>
  <si>
    <t xml:space="preserve">Ипотека на коммерческую недвижимость</t>
  </si>
  <si>
    <t xml:space="preserve">Ставка от 19,59%. Скидка 0,4% зарплатным клиентам и клиентам A-Club. ПСК 18,887–28,255%.</t>
  </si>
  <si>
    <t xml:space="preserve">Без штрафа за досрочное погашение. Лимит 100 млн в Москве, МО, СПб и ЛО; Сочи до 70 млн; другие регионы до 35 млн.</t>
  </si>
  <si>
    <t xml:space="preserve">https://ru.myfin.by/bank/alfabank/ipoteka/kommerceskaa-nedvizimost-13</t>
  </si>
  <si>
    <t xml:space="preserve">Источник — myfin.by. Взнос на странице не указан. Срок от 3 до 30 лет.</t>
  </si>
  <si>
    <t xml:space="preserve">Коммерческая недвижимость на вторичном рынке</t>
  </si>
  <si>
    <t xml:space="preserve">Ставка от 19,99%. Скидка 0,5% зарплатным клиентам. ПСК 19,480–23,836%.</t>
  </si>
  <si>
    <t xml:space="preserve">Без штрафа за досрочное погашение. Решение за 24 часа.</t>
  </si>
  <si>
    <t xml:space="preserve">https://ru.myfin.by/bank/sovcombank/ipoteka/kommerceskaa-nedvizimost-na-vtoricnom-rynke</t>
  </si>
  <si>
    <t xml:space="preserve">Источник — myfin.by (данные от 02.10), взнос 15% по карточке Финуслуг от 23.10. Только в городах с населением более 300 тыс. Срок от 5 лет.</t>
  </si>
  <si>
    <t xml:space="preserve">Да / Нет / Уточнить</t>
  </si>
  <si>
    <t xml:space="preserve">Партнёрка</t>
  </si>
  <si>
    <t xml:space="preserve">Квартира (вторичка)</t>
  </si>
  <si>
    <t xml:space="preserve">Квартира (новостройка)</t>
  </si>
  <si>
    <t xml:space="preserve">ИП</t>
  </si>
  <si>
    <t xml:space="preserve">Льготная (господдержка)</t>
  </si>
  <si>
    <t xml:space="preserve">Нет</t>
  </si>
  <si>
    <t xml:space="preserve">Дом / участок</t>
  </si>
  <si>
    <t xml:space="preserve">Юрлицо</t>
  </si>
  <si>
    <t xml:space="preserve">Программа застройщика</t>
  </si>
  <si>
    <t xml:space="preserve">В переговорах</t>
  </si>
  <si>
    <t xml:space="preserve">Склад / ангар</t>
  </si>
  <si>
    <t xml:space="preserve">Производственное помещение</t>
  </si>
  <si>
    <t xml:space="preserve">Гараж / машино-место</t>
  </si>
  <si>
    <t xml:space="preserve">Источник</t>
  </si>
  <si>
    <t xml:space="preserve">Что даёт</t>
  </si>
  <si>
    <t xml:space="preserve">Как получать</t>
  </si>
  <si>
    <t xml:space="preserve">Что выяснено</t>
  </si>
  <si>
    <t xml:space="preserve">Вывод</t>
  </si>
  <si>
    <t xml:space="preserve">Банк России</t>
  </si>
  <si>
    <t xml:space="preserve">Ключевая ставка, средние рыночные ставки</t>
  </si>
  <si>
    <t xml:space="preserve">Открытые данные, можно автоматизировать</t>
  </si>
  <si>
    <t xml:space="preserve">Ключевая ставка 14% с 27.07.2026, на заседании 11.09 сохранена. Исход заседания 23.10 не найден.</t>
  </si>
  <si>
    <t xml:space="preserve">Автоматизировать первым: ориентир рынка без договоров</t>
  </si>
  <si>
    <t xml:space="preserve">Сайты банков (ВТБ, ДОМ.РФ)</t>
  </si>
  <si>
    <t xml:space="preserve">Первоисточник условий</t>
  </si>
  <si>
    <t xml:space="preserve">Прямое чтение страниц</t>
  </si>
  <si>
    <t xml:space="preserve">У ВТБ и ДОМ.РФ чтение страниц запрещено в robots.txt, автоматический доступ не удался.</t>
  </si>
  <si>
    <t xml:space="preserve">Не строить сбор на парсинге: юридический и технический риск</t>
  </si>
  <si>
    <t xml:space="preserve">ДОМ.РФ Банк, Сравни, АФТ</t>
  </si>
  <si>
    <t xml:space="preserve">Открытые API для ипотеки</t>
  </si>
  <si>
    <t xml:space="preserve">Договор о подключении</t>
  </si>
  <si>
    <t xml:space="preserve">Есть публикации об открытом API ипотечных данных и о стандарте открытых API с Сравни. Страницы с деталями прочитать не удалось.</t>
  </si>
  <si>
    <t xml:space="preserve">Вероятный путь к автоматическим данным, нужны юрлицо и трафик. Условия узнавать у них напрямую</t>
  </si>
  <si>
    <t xml:space="preserve">Финуслуги (маркетплейс)</t>
  </si>
  <si>
    <t xml:space="preserve">Карточки с условиями, обновление ежедневное (данные от 22–23.10.2026)</t>
  </si>
  <si>
    <t xml:space="preserve">Публичные страницы, ToS не изучен</t>
  </si>
  <si>
    <t xml:space="preserve">Показывает ставки, ПСК, сумму, срок, взнос. Раздел «коммерческая» смешан с жилыми программами.</t>
  </si>
  <si>
    <t xml:space="preserve">Хороший ориентир, но не основа продукта: ограничения использования проверять</t>
  </si>
  <si>
    <t xml:space="preserve">myfin.by, Сравни (бизнес-каталог)</t>
  </si>
  <si>
    <t xml:space="preserve">Карточки банков и каталог кредитов</t>
  </si>
  <si>
    <t xml:space="preserve">Даты обновления разные: Альфа 19.10, Совкомбанк 02.10, каталог Сравни 26.10. Данные могут отставать.</t>
  </si>
  <si>
    <t xml:space="preserve">Всегда хранить дату обновления источника</t>
  </si>
  <si>
    <t xml:space="preserve">Партнёрские сети (CPA)</t>
  </si>
  <si>
    <t xml:space="preserve">Офферы банков со ссылками и выплатами, например оффер Альфа-Банка по коммерческой ипотеке</t>
  </si>
  <si>
    <t xml:space="preserve">Регистрация вебмастера, подключение к офферам</t>
  </si>
  <si>
    <t xml:space="preserve">Оффер на коммерческую ипотеку Альфа-Банка есть в каталоге Пампаду. Полнота данных о ставках в офферах не проверена.</t>
  </si>
  <si>
    <t xml:space="preserve">Нужны и для заработка, и для получения условий; брать со старта</t>
  </si>
  <si>
    <t xml:space="preserve">Статусы отражают то, что удалось проверить 26.10.2026. Юридические вопросы использования чужих данных обсудите с юристом.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</si>
</sst>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"/>
    <numFmt numFmtId="168" formatCode="dd\.mm\.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46B5"/>
        <bgColor rgb="FF0066CC"/>
      </patternFill>
    </fill>
    <fill>
      <patternFill patternType="solid">
        <fgColor rgb="FFE8EC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46B5"/>
          <bgColor rgb="FF000000"/>
        </patternFill>
      </fill>
    </dxf>
    <dxf>
      <fill>
        <patternFill patternType="solid">
          <fgColor rgb="FFE8EC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CF3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446B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90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30" hidden="false" customHeight="true" outlineLevel="0" collapsed="false">
      <c r="B5" s="4" t="s">
        <v>2</v>
      </c>
      <c r="C5" s="5" t="s">
        <v>3</v>
      </c>
    </row>
    <row r="6" customFormat="false" ht="30" hidden="false" customHeight="true" outlineLevel="0" collapsed="false">
      <c r="B6" s="4" t="s">
        <v>4</v>
      </c>
      <c r="C6" s="5" t="s">
        <v>5</v>
      </c>
    </row>
    <row r="7" customFormat="false" ht="30" hidden="false" customHeight="true" outlineLevel="0" collapsed="false">
      <c r="B7" s="4" t="s">
        <v>6</v>
      </c>
      <c r="C7" s="5" t="s">
        <v>7</v>
      </c>
    </row>
    <row r="8" customFormat="false" ht="45" hidden="false" customHeight="true" outlineLevel="0" collapsed="false">
      <c r="B8" s="4" t="s">
        <v>8</v>
      </c>
      <c r="C8" s="5" t="s">
        <v>9</v>
      </c>
    </row>
    <row r="9" customFormat="false" ht="30" hidden="false" customHeight="true" outlineLevel="0" collapsed="false">
      <c r="B9" s="4" t="s">
        <v>10</v>
      </c>
      <c r="C9" s="5" t="s">
        <v>11</v>
      </c>
    </row>
    <row r="10" customFormat="false" ht="30" hidden="false" customHeight="true" outlineLevel="0" collapsed="false">
      <c r="B10" s="4" t="s">
        <v>12</v>
      </c>
      <c r="C10" s="5" t="s">
        <v>13</v>
      </c>
    </row>
    <row r="11" customFormat="false" ht="30" hidden="false" customHeight="true" outlineLevel="0" collapsed="false">
      <c r="B11" s="4" t="s">
        <v>14</v>
      </c>
      <c r="C11" s="5" t="s">
        <v>15</v>
      </c>
    </row>
    <row r="12" customFormat="false" ht="30" hidden="false" customHeight="true" outlineLevel="0" collapsed="false">
      <c r="B12" s="4" t="s">
        <v>16</v>
      </c>
      <c r="C12" s="5" t="s">
        <v>17</v>
      </c>
    </row>
    <row r="13" customFormat="false" ht="45" hidden="false" customHeight="true" outlineLevel="0" collapsed="false">
      <c r="B13" s="4" t="s">
        <v>18</v>
      </c>
      <c r="C13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28"/>
    <col collapsed="false" customWidth="true" hidden="false" outlineLevel="0" max="7" min="7" style="1" width="14"/>
    <col collapsed="false" customWidth="true" hidden="false" outlineLevel="0" max="8" min="8" style="1" width="40"/>
  </cols>
  <sheetData>
    <row r="1" customFormat="false" ht="31.5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customFormat="false" ht="15" hidden="false" customHeight="true" outlineLevel="0" collapsed="false">
      <c r="A2" s="7" t="n">
        <v>1</v>
      </c>
      <c r="B2" s="7" t="s">
        <v>28</v>
      </c>
      <c r="C2" s="7" t="s">
        <v>29</v>
      </c>
      <c r="D2" s="7" t="s">
        <v>30</v>
      </c>
      <c r="E2" s="7" t="s">
        <v>31</v>
      </c>
      <c r="F2" s="8"/>
      <c r="G2" s="9" t="n">
        <f aca="false">IF(B2="","",COUNTIF(Программы!$B$3:$B$202,B2))</f>
        <v>1</v>
      </c>
      <c r="H2" s="8"/>
    </row>
    <row r="3" customFormat="false" ht="15" hidden="false" customHeight="true" outlineLevel="0" collapsed="false">
      <c r="A3" s="7" t="n">
        <v>2</v>
      </c>
      <c r="B3" s="7" t="s">
        <v>32</v>
      </c>
      <c r="C3" s="7" t="s">
        <v>33</v>
      </c>
      <c r="D3" s="7" t="s">
        <v>30</v>
      </c>
      <c r="E3" s="7" t="s">
        <v>31</v>
      </c>
      <c r="F3" s="8"/>
      <c r="G3" s="9" t="n">
        <f aca="false">IF(B3="","",COUNTIF(Программы!$B$3:$B$202,B3))</f>
        <v>0</v>
      </c>
      <c r="H3" s="8"/>
    </row>
    <row r="4" customFormat="false" ht="15" hidden="false" customHeight="true" outlineLevel="0" collapsed="false">
      <c r="A4" s="7" t="n">
        <v>3</v>
      </c>
      <c r="B4" s="7" t="s">
        <v>34</v>
      </c>
      <c r="C4" s="7" t="s">
        <v>35</v>
      </c>
      <c r="D4" s="7" t="s">
        <v>30</v>
      </c>
      <c r="E4" s="7" t="s">
        <v>31</v>
      </c>
      <c r="F4" s="8"/>
      <c r="G4" s="9" t="n">
        <f aca="false">IF(B4="","",COUNTIF(Программы!$B$3:$B$202,B4))</f>
        <v>1</v>
      </c>
      <c r="H4" s="8"/>
    </row>
    <row r="5" customFormat="false" ht="15" hidden="false" customHeight="true" outlineLevel="0" collapsed="false">
      <c r="A5" s="7" t="n">
        <v>4</v>
      </c>
      <c r="B5" s="7" t="s">
        <v>36</v>
      </c>
      <c r="C5" s="7" t="s">
        <v>37</v>
      </c>
      <c r="D5" s="7" t="s">
        <v>30</v>
      </c>
      <c r="E5" s="7" t="s">
        <v>31</v>
      </c>
      <c r="F5" s="8"/>
      <c r="G5" s="9" t="n">
        <f aca="false">IF(B5="","",COUNTIF(Программы!$B$3:$B$202,B5))</f>
        <v>0</v>
      </c>
      <c r="H5" s="8"/>
    </row>
    <row r="6" customFormat="false" ht="15" hidden="false" customHeight="true" outlineLevel="0" collapsed="false">
      <c r="A6" s="7" t="n">
        <v>5</v>
      </c>
      <c r="B6" s="7" t="s">
        <v>38</v>
      </c>
      <c r="C6" s="7" t="s">
        <v>39</v>
      </c>
      <c r="D6" s="7" t="s">
        <v>30</v>
      </c>
      <c r="E6" s="7" t="s">
        <v>31</v>
      </c>
      <c r="F6" s="8"/>
      <c r="G6" s="9" t="n">
        <f aca="false">IF(B6="","",COUNTIF(Программы!$B$3:$B$202,B6))</f>
        <v>0</v>
      </c>
      <c r="H6" s="8"/>
    </row>
    <row r="7" customFormat="false" ht="15" hidden="false" customHeight="true" outlineLevel="0" collapsed="false">
      <c r="A7" s="7" t="n">
        <v>6</v>
      </c>
      <c r="B7" s="7" t="s">
        <v>40</v>
      </c>
      <c r="C7" s="7" t="s">
        <v>41</v>
      </c>
      <c r="D7" s="7" t="s">
        <v>30</v>
      </c>
      <c r="E7" s="7" t="s">
        <v>31</v>
      </c>
      <c r="F7" s="8"/>
      <c r="G7" s="9" t="n">
        <f aca="false">IF(B7="","",COUNTIF(Программы!$B$3:$B$202,B7))</f>
        <v>0</v>
      </c>
      <c r="H7" s="8"/>
    </row>
    <row r="8" customFormat="false" ht="15" hidden="false" customHeight="true" outlineLevel="0" collapsed="false">
      <c r="A8" s="7" t="n">
        <v>7</v>
      </c>
      <c r="B8" s="7" t="s">
        <v>42</v>
      </c>
      <c r="C8" s="7" t="s">
        <v>43</v>
      </c>
      <c r="D8" s="7" t="s">
        <v>30</v>
      </c>
      <c r="E8" s="7" t="s">
        <v>31</v>
      </c>
      <c r="F8" s="8"/>
      <c r="G8" s="9" t="n">
        <f aca="false">IF(B8="","",COUNTIF(Программы!$B$3:$B$202,B8))</f>
        <v>0</v>
      </c>
      <c r="H8" s="8"/>
    </row>
    <row r="9" customFormat="false" ht="15" hidden="false" customHeight="true" outlineLevel="0" collapsed="false">
      <c r="A9" s="7" t="n">
        <v>8</v>
      </c>
      <c r="B9" s="7" t="s">
        <v>44</v>
      </c>
      <c r="C9" s="7" t="s">
        <v>45</v>
      </c>
      <c r="D9" s="7" t="s">
        <v>30</v>
      </c>
      <c r="E9" s="7" t="s">
        <v>31</v>
      </c>
      <c r="F9" s="8"/>
      <c r="G9" s="9" t="n">
        <f aca="false">IF(B9="","",COUNTIF(Программы!$B$3:$B$202,B9))</f>
        <v>1</v>
      </c>
      <c r="H9" s="8"/>
    </row>
    <row r="10" customFormat="false" ht="15" hidden="false" customHeight="true" outlineLevel="0" collapsed="false">
      <c r="A10" s="7" t="n">
        <v>9</v>
      </c>
      <c r="B10" s="7" t="s">
        <v>46</v>
      </c>
      <c r="C10" s="7" t="s">
        <v>47</v>
      </c>
      <c r="D10" s="7" t="s">
        <v>48</v>
      </c>
      <c r="E10" s="7" t="s">
        <v>31</v>
      </c>
      <c r="F10" s="8"/>
      <c r="G10" s="9" t="n">
        <f aca="false">IF(B10="","",COUNTIF(Программы!$B$3:$B$202,B10))</f>
        <v>0</v>
      </c>
      <c r="H10" s="8"/>
    </row>
    <row r="11" customFormat="false" ht="15" hidden="false" customHeight="true" outlineLevel="0" collapsed="false">
      <c r="A11" s="7" t="n">
        <v>10</v>
      </c>
      <c r="B11" s="7" t="s">
        <v>49</v>
      </c>
      <c r="C11" s="7" t="s">
        <v>50</v>
      </c>
      <c r="D11" s="7" t="s">
        <v>48</v>
      </c>
      <c r="E11" s="7" t="s">
        <v>31</v>
      </c>
      <c r="F11" s="8"/>
      <c r="G11" s="9" t="n">
        <f aca="false">IF(B11="","",COUNTIF(Программы!$B$3:$B$202,B11))</f>
        <v>0</v>
      </c>
      <c r="H11" s="8"/>
    </row>
    <row r="12" customFormat="false" ht="15" hidden="false" customHeight="true" outlineLevel="0" collapsed="false">
      <c r="A12" s="7" t="n">
        <v>11</v>
      </c>
      <c r="B12" s="7" t="s">
        <v>51</v>
      </c>
      <c r="C12" s="7" t="s">
        <v>52</v>
      </c>
      <c r="D12" s="7" t="s">
        <v>48</v>
      </c>
      <c r="E12" s="7" t="s">
        <v>31</v>
      </c>
      <c r="F12" s="8"/>
      <c r="G12" s="9" t="n">
        <f aca="false">IF(B12="","",COUNTIF(Программы!$B$3:$B$202,B12))</f>
        <v>0</v>
      </c>
      <c r="H12" s="8"/>
    </row>
    <row r="13" customFormat="false" ht="15" hidden="false" customHeight="true" outlineLevel="0" collapsed="false">
      <c r="A13" s="7" t="n">
        <v>12</v>
      </c>
      <c r="B13" s="7" t="s">
        <v>53</v>
      </c>
      <c r="C13" s="7" t="s">
        <v>54</v>
      </c>
      <c r="D13" s="7" t="s">
        <v>48</v>
      </c>
      <c r="E13" s="7" t="s">
        <v>31</v>
      </c>
      <c r="F13" s="8"/>
      <c r="G13" s="9" t="n">
        <f aca="false">IF(B13="","",COUNTIF(Программы!$B$3:$B$202,B13))</f>
        <v>0</v>
      </c>
      <c r="H13" s="8"/>
    </row>
    <row r="14" customFormat="false" ht="15" hidden="false" customHeight="true" outlineLevel="0" collapsed="false">
      <c r="A14" s="7" t="n">
        <v>13</v>
      </c>
      <c r="B14" s="7" t="s">
        <v>55</v>
      </c>
      <c r="C14" s="7" t="s">
        <v>56</v>
      </c>
      <c r="D14" s="7" t="s">
        <v>48</v>
      </c>
      <c r="E14" s="7" t="s">
        <v>31</v>
      </c>
      <c r="F14" s="8"/>
      <c r="G14" s="9" t="n">
        <f aca="false">IF(B14="","",COUNTIF(Программы!$B$3:$B$202,B14))</f>
        <v>0</v>
      </c>
      <c r="H14" s="8"/>
    </row>
    <row r="15" customFormat="false" ht="15" hidden="false" customHeight="true" outlineLevel="0" collapsed="false">
      <c r="A15" s="7" t="n">
        <v>14</v>
      </c>
      <c r="B15" s="7" t="s">
        <v>57</v>
      </c>
      <c r="C15" s="7" t="s">
        <v>58</v>
      </c>
      <c r="D15" s="7" t="s">
        <v>48</v>
      </c>
      <c r="E15" s="7" t="s">
        <v>31</v>
      </c>
      <c r="F15" s="8"/>
      <c r="G15" s="9" t="n">
        <f aca="false">IF(B15="","",COUNTIF(Программы!$B$3:$B$202,B15))</f>
        <v>0</v>
      </c>
      <c r="H15" s="8"/>
    </row>
    <row r="16" customFormat="false" ht="15" hidden="false" customHeight="true" outlineLevel="0" collapsed="false">
      <c r="A16" s="7" t="n">
        <v>15</v>
      </c>
      <c r="B16" s="7" t="s">
        <v>59</v>
      </c>
      <c r="C16" s="7" t="s">
        <v>60</v>
      </c>
      <c r="D16" s="7" t="s">
        <v>48</v>
      </c>
      <c r="E16" s="7" t="s">
        <v>31</v>
      </c>
      <c r="F16" s="8"/>
      <c r="G16" s="9" t="n">
        <f aca="false">IF(B16="","",COUNTIF(Программы!$B$3:$B$202,B16))</f>
        <v>0</v>
      </c>
      <c r="H16" s="8"/>
    </row>
    <row r="17" customFormat="false" ht="15" hidden="false" customHeight="true" outlineLevel="0" collapsed="false">
      <c r="A17" s="7"/>
      <c r="B17" s="7"/>
      <c r="C17" s="7"/>
      <c r="D17" s="7"/>
      <c r="E17" s="7"/>
      <c r="F17" s="8"/>
      <c r="G17" s="9" t="str">
        <f aca="false">IF(B17="","",COUNTIF(Программы!$B$3:$B$202,B17))</f>
        <v/>
      </c>
      <c r="H17" s="8"/>
    </row>
    <row r="18" customFormat="false" ht="15" hidden="false" customHeight="true" outlineLevel="0" collapsed="false">
      <c r="A18" s="7"/>
      <c r="B18" s="7"/>
      <c r="C18" s="7"/>
      <c r="D18" s="7"/>
      <c r="E18" s="7"/>
      <c r="F18" s="8"/>
      <c r="G18" s="9" t="str">
        <f aca="false">IF(B18="","",COUNTIF(Программы!$B$3:$B$202,B18))</f>
        <v/>
      </c>
      <c r="H18" s="8"/>
    </row>
    <row r="19" customFormat="false" ht="15" hidden="false" customHeight="true" outlineLevel="0" collapsed="false">
      <c r="A19" s="7"/>
      <c r="B19" s="7"/>
      <c r="C19" s="7"/>
      <c r="D19" s="7"/>
      <c r="E19" s="7"/>
      <c r="F19" s="8"/>
      <c r="G19" s="9" t="str">
        <f aca="false">IF(B19="","",COUNTIF(Программы!$B$3:$B$202,B19))</f>
        <v/>
      </c>
      <c r="H19" s="8"/>
    </row>
    <row r="20" customFormat="false" ht="15" hidden="false" customHeight="true" outlineLevel="0" collapsed="false">
      <c r="A20" s="7"/>
      <c r="B20" s="7"/>
      <c r="C20" s="7"/>
      <c r="D20" s="7"/>
      <c r="E20" s="7"/>
      <c r="F20" s="8"/>
      <c r="G20" s="9" t="str">
        <f aca="false">IF(B20="","",COUNTIF(Программы!$B$3:$B$202,B20))</f>
        <v/>
      </c>
      <c r="H20" s="8"/>
    </row>
    <row r="21" customFormat="false" ht="15" hidden="false" customHeight="true" outlineLevel="0" collapsed="false">
      <c r="A21" s="7"/>
      <c r="B21" s="7"/>
      <c r="C21" s="7"/>
      <c r="D21" s="7"/>
      <c r="E21" s="7"/>
      <c r="F21" s="8"/>
      <c r="G21" s="9" t="str">
        <f aca="false">IF(B21="","",COUNTIF(Программы!$B$3:$B$202,B21))</f>
        <v/>
      </c>
      <c r="H21" s="8"/>
    </row>
    <row r="22" customFormat="false" ht="15" hidden="false" customHeight="true" outlineLevel="0" collapsed="false">
      <c r="A22" s="7"/>
      <c r="B22" s="7"/>
      <c r="C22" s="7"/>
      <c r="D22" s="7"/>
      <c r="E22" s="7"/>
      <c r="F22" s="8"/>
      <c r="G22" s="9" t="str">
        <f aca="false">IF(B22="","",COUNTIF(Программы!$B$3:$B$202,B22))</f>
        <v/>
      </c>
      <c r="H22" s="8"/>
    </row>
    <row r="23" customFormat="false" ht="15" hidden="false" customHeight="true" outlineLevel="0" collapsed="false">
      <c r="A23" s="7"/>
      <c r="B23" s="7"/>
      <c r="C23" s="7"/>
      <c r="D23" s="7"/>
      <c r="E23" s="7"/>
      <c r="F23" s="8"/>
      <c r="G23" s="9" t="str">
        <f aca="false">IF(B23="","",COUNTIF(Программы!$B$3:$B$202,B23))</f>
        <v/>
      </c>
      <c r="H23" s="8"/>
    </row>
    <row r="24" customFormat="false" ht="15" hidden="false" customHeight="true" outlineLevel="0" collapsed="false">
      <c r="A24" s="7"/>
      <c r="B24" s="7"/>
      <c r="C24" s="7"/>
      <c r="D24" s="7"/>
      <c r="E24" s="7"/>
      <c r="F24" s="8"/>
      <c r="G24" s="9" t="str">
        <f aca="false">IF(B24="","",COUNTIF(Программы!$B$3:$B$202,B24))</f>
        <v/>
      </c>
      <c r="H24" s="8"/>
    </row>
    <row r="25" customFormat="false" ht="15" hidden="false" customHeight="true" outlineLevel="0" collapsed="false">
      <c r="A25" s="7"/>
      <c r="B25" s="7"/>
      <c r="C25" s="7"/>
      <c r="D25" s="7"/>
      <c r="E25" s="7"/>
      <c r="F25" s="8"/>
      <c r="G25" s="9" t="str">
        <f aca="false">IF(B25="","",COUNTIF(Программы!$B$3:$B$202,B25))</f>
        <v/>
      </c>
      <c r="H25" s="8"/>
    </row>
    <row r="26" customFormat="false" ht="15" hidden="false" customHeight="true" outlineLevel="0" collapsed="false">
      <c r="A26" s="7"/>
      <c r="B26" s="7"/>
      <c r="C26" s="7"/>
      <c r="D26" s="7"/>
      <c r="E26" s="7"/>
      <c r="F26" s="8"/>
      <c r="G26" s="9" t="str">
        <f aca="false">IF(B26="","",COUNTIF(Программы!$B$3:$B$202,B26))</f>
        <v/>
      </c>
      <c r="H26" s="8"/>
    </row>
    <row r="27" customFormat="false" ht="15" hidden="false" customHeight="true" outlineLevel="0" collapsed="false">
      <c r="A27" s="7"/>
      <c r="B27" s="7"/>
      <c r="C27" s="7"/>
      <c r="D27" s="7"/>
      <c r="E27" s="7"/>
      <c r="F27" s="8"/>
      <c r="G27" s="9" t="str">
        <f aca="false">IF(B27="","",COUNTIF(Программы!$B$3:$B$202,B27))</f>
        <v/>
      </c>
      <c r="H27" s="8"/>
    </row>
    <row r="28" customFormat="false" ht="15" hidden="false" customHeight="true" outlineLevel="0" collapsed="false">
      <c r="A28" s="7"/>
      <c r="B28" s="7"/>
      <c r="C28" s="7"/>
      <c r="D28" s="7"/>
      <c r="E28" s="7"/>
      <c r="F28" s="8"/>
      <c r="G28" s="9" t="str">
        <f aca="false">IF(B28="","",COUNTIF(Программы!$B$3:$B$202,B28))</f>
        <v/>
      </c>
      <c r="H28" s="8"/>
    </row>
    <row r="29" customFormat="false" ht="15" hidden="false" customHeight="true" outlineLevel="0" collapsed="false">
      <c r="A29" s="7"/>
      <c r="B29" s="7"/>
      <c r="C29" s="7"/>
      <c r="D29" s="7"/>
      <c r="E29" s="7"/>
      <c r="F29" s="8"/>
      <c r="G29" s="9" t="str">
        <f aca="false">IF(B29="","",COUNTIF(Программы!$B$3:$B$202,B29))</f>
        <v/>
      </c>
      <c r="H29" s="8"/>
    </row>
    <row r="30" customFormat="false" ht="15" hidden="false" customHeight="true" outlineLevel="0" collapsed="false">
      <c r="A30" s="7"/>
      <c r="B30" s="7"/>
      <c r="C30" s="7"/>
      <c r="D30" s="7"/>
      <c r="E30" s="7"/>
      <c r="F30" s="8"/>
      <c r="G30" s="9" t="str">
        <f aca="false">IF(B30="","",COUNTIF(Программы!$B$3:$B$202,B30))</f>
        <v/>
      </c>
      <c r="H30" s="8"/>
    </row>
    <row r="31" customFormat="false" ht="15" hidden="false" customHeight="true" outlineLevel="0" collapsed="false">
      <c r="A31" s="7"/>
      <c r="B31" s="7"/>
      <c r="C31" s="7"/>
      <c r="D31" s="7"/>
      <c r="E31" s="7"/>
      <c r="F31" s="8"/>
      <c r="G31" s="9" t="str">
        <f aca="false">IF(B31="","",COUNTIF(Программы!$B$3:$B$202,B31))</f>
        <v/>
      </c>
      <c r="H31" s="8"/>
    </row>
    <row r="32" customFormat="false" ht="15" hidden="false" customHeight="true" outlineLevel="0" collapsed="false">
      <c r="A32" s="7"/>
      <c r="B32" s="7"/>
      <c r="C32" s="7"/>
      <c r="D32" s="7"/>
      <c r="E32" s="7"/>
      <c r="F32" s="8"/>
      <c r="G32" s="9" t="str">
        <f aca="false">IF(B32="","",COUNTIF(Программы!$B$3:$B$202,B32))</f>
        <v/>
      </c>
      <c r="H32" s="8"/>
    </row>
    <row r="33" customFormat="false" ht="15" hidden="false" customHeight="true" outlineLevel="0" collapsed="false">
      <c r="A33" s="7"/>
      <c r="B33" s="7"/>
      <c r="C33" s="7"/>
      <c r="D33" s="7"/>
      <c r="E33" s="7"/>
      <c r="F33" s="8"/>
      <c r="G33" s="9" t="str">
        <f aca="false">IF(B33="","",COUNTIF(Программы!$B$3:$B$202,B33))</f>
        <v/>
      </c>
      <c r="H33" s="8"/>
    </row>
    <row r="34" customFormat="false" ht="15" hidden="false" customHeight="true" outlineLevel="0" collapsed="false">
      <c r="A34" s="7"/>
      <c r="B34" s="7"/>
      <c r="C34" s="7"/>
      <c r="D34" s="7"/>
      <c r="E34" s="7"/>
      <c r="F34" s="8"/>
      <c r="G34" s="9" t="str">
        <f aca="false">IF(B34="","",COUNTIF(Программы!$B$3:$B$202,B34))</f>
        <v/>
      </c>
      <c r="H34" s="8"/>
    </row>
    <row r="35" customFormat="false" ht="15" hidden="false" customHeight="true" outlineLevel="0" collapsed="false">
      <c r="A35" s="7"/>
      <c r="B35" s="7"/>
      <c r="C35" s="7"/>
      <c r="D35" s="7"/>
      <c r="E35" s="7"/>
      <c r="F35" s="8"/>
      <c r="G35" s="9" t="str">
        <f aca="false">IF(B35="","",COUNTIF(Программы!$B$3:$B$202,B35))</f>
        <v/>
      </c>
      <c r="H35" s="8"/>
    </row>
    <row r="36" customFormat="false" ht="15" hidden="false" customHeight="true" outlineLevel="0" collapsed="false">
      <c r="A36" s="7"/>
      <c r="B36" s="7"/>
      <c r="C36" s="7"/>
      <c r="D36" s="7"/>
      <c r="E36" s="7"/>
      <c r="F36" s="8"/>
      <c r="G36" s="9" t="str">
        <f aca="false">IF(B36="","",COUNTIF(Программы!$B$3:$B$202,B36))</f>
        <v/>
      </c>
      <c r="H36" s="8"/>
    </row>
    <row r="37" customFormat="false" ht="15" hidden="false" customHeight="true" outlineLevel="0" collapsed="false">
      <c r="A37" s="7"/>
      <c r="B37" s="7"/>
      <c r="C37" s="7"/>
      <c r="D37" s="7"/>
      <c r="E37" s="7"/>
      <c r="F37" s="8"/>
      <c r="G37" s="9" t="str">
        <f aca="false">IF(B37="","",COUNTIF(Программы!$B$3:$B$202,B37))</f>
        <v/>
      </c>
      <c r="H37" s="8"/>
    </row>
    <row r="38" customFormat="false" ht="15" hidden="false" customHeight="true" outlineLevel="0" collapsed="false">
      <c r="A38" s="7"/>
      <c r="B38" s="7"/>
      <c r="C38" s="7"/>
      <c r="D38" s="7"/>
      <c r="E38" s="7"/>
      <c r="F38" s="8"/>
      <c r="G38" s="9" t="str">
        <f aca="false">IF(B38="","",COUNTIF(Программы!$B$3:$B$202,B38))</f>
        <v/>
      </c>
      <c r="H38" s="8"/>
    </row>
    <row r="39" customFormat="false" ht="15" hidden="false" customHeight="true" outlineLevel="0" collapsed="false">
      <c r="A39" s="7"/>
      <c r="B39" s="7"/>
      <c r="C39" s="7"/>
      <c r="D39" s="7"/>
      <c r="E39" s="7"/>
      <c r="F39" s="8"/>
      <c r="G39" s="9" t="str">
        <f aca="false">IF(B39="","",COUNTIF(Программы!$B$3:$B$202,B39))</f>
        <v/>
      </c>
      <c r="H39" s="8"/>
    </row>
    <row r="40" customFormat="false" ht="15" hidden="false" customHeight="true" outlineLevel="0" collapsed="false">
      <c r="A40" s="7"/>
      <c r="B40" s="7"/>
      <c r="C40" s="7"/>
      <c r="D40" s="7"/>
      <c r="E40" s="7"/>
      <c r="F40" s="8"/>
      <c r="G40" s="9" t="str">
        <f aca="false">IF(B40="","",COUNTIF(Программы!$B$3:$B$202,B40))</f>
        <v/>
      </c>
      <c r="H40" s="8"/>
    </row>
    <row r="42" customFormat="false" ht="15" hidden="false" customHeight="true" outlineLevel="0" collapsed="false">
      <c r="B42" s="3" t="s">
        <v>61</v>
      </c>
    </row>
  </sheetData>
  <dataValidations count="2">
    <dataValidation allowBlank="true" errorStyle="stop" operator="between" showDropDown="false" showErrorMessage="false" showInputMessage="false" sqref="D2:D40" type="list">
      <formula1>Справочники!$D$2:$D$3</formula1>
      <formula2>0</formula2>
    </dataValidation>
    <dataValidation allowBlank="true" errorStyle="stop" operator="between" showDropDown="false" showErrorMessage="false" showInputMessage="false" sqref="E2:E40" type="list">
      <formula1>Справочники!$E$2:$E$5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15"/>
    <col collapsed="false" customWidth="true" hidden="false" outlineLevel="0" max="6" min="6" style="1" width="20"/>
    <col collapsed="false" customWidth="true" hidden="false" outlineLevel="0" max="8" min="7" style="1" width="10"/>
    <col collapsed="false" customWidth="true" hidden="false" outlineLevel="0" max="9" min="9" style="1" width="34"/>
    <col collapsed="false" customWidth="true" hidden="false" outlineLevel="0" max="10" min="10" style="1" width="10"/>
    <col collapsed="false" customWidth="true" hidden="false" outlineLevel="0" max="11" min="11" style="1" width="11"/>
    <col collapsed="false" customWidth="true" hidden="false" outlineLevel="0" max="13" min="12" style="1" width="14"/>
    <col collapsed="false" customWidth="true" hidden="false" outlineLevel="0" max="14" min="14" style="1" width="17"/>
    <col collapsed="false" customWidth="true" hidden="false" outlineLevel="0" max="15" min="15" style="1" width="15"/>
    <col collapsed="false" customWidth="true" hidden="false" outlineLevel="0" max="16" min="16" style="1" width="28"/>
    <col collapsed="false" customWidth="true" hidden="false" outlineLevel="0" max="17" min="17" style="1" width="36"/>
    <col collapsed="false" customWidth="true" hidden="false" outlineLevel="0" max="18" min="18" style="1" width="14"/>
    <col collapsed="false" customWidth="true" hidden="false" outlineLevel="0" max="19" min="19" style="1" width="16"/>
    <col collapsed="false" customWidth="true" hidden="false" outlineLevel="0" max="20" min="20" style="1" width="34"/>
  </cols>
  <sheetData>
    <row r="1" customFormat="false" ht="15" hidden="false" customHeight="true" outlineLevel="0" collapsed="false">
      <c r="A1" s="3" t="s">
        <v>62</v>
      </c>
    </row>
    <row r="2" customFormat="false" ht="42" hidden="false" customHeight="true" outlineLevel="0" collapsed="false">
      <c r="A2" s="10" t="s">
        <v>63</v>
      </c>
      <c r="B2" s="10" t="s">
        <v>21</v>
      </c>
      <c r="C2" s="10" t="s">
        <v>64</v>
      </c>
      <c r="D2" s="10" t="s">
        <v>65</v>
      </c>
      <c r="E2" s="10" t="s">
        <v>66</v>
      </c>
      <c r="F2" s="10" t="s">
        <v>67</v>
      </c>
      <c r="G2" s="10" t="s">
        <v>68</v>
      </c>
      <c r="H2" s="10" t="s">
        <v>69</v>
      </c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O2" s="10" t="s">
        <v>76</v>
      </c>
      <c r="P2" s="10" t="s">
        <v>77</v>
      </c>
      <c r="Q2" s="10" t="s">
        <v>78</v>
      </c>
      <c r="R2" s="10" t="s">
        <v>12</v>
      </c>
      <c r="S2" s="10" t="s">
        <v>79</v>
      </c>
      <c r="T2" s="10" t="s">
        <v>80</v>
      </c>
    </row>
    <row r="3" customFormat="false" ht="78" hidden="false" customHeight="true" outlineLevel="0" collapsed="false">
      <c r="A3" s="11" t="n">
        <f aca="false">IF(B3="","",ROW()-2)</f>
        <v>1</v>
      </c>
      <c r="B3" s="7" t="s">
        <v>28</v>
      </c>
      <c r="C3" s="8" t="s">
        <v>81</v>
      </c>
      <c r="D3" s="7" t="s">
        <v>82</v>
      </c>
      <c r="E3" s="7" t="s">
        <v>83</v>
      </c>
      <c r="F3" s="7" t="s">
        <v>84</v>
      </c>
      <c r="G3" s="12" t="n">
        <v>0.212</v>
      </c>
      <c r="H3" s="12" t="n">
        <v>0.22</v>
      </c>
      <c r="I3" s="8" t="s">
        <v>85</v>
      </c>
      <c r="J3" s="12" t="n">
        <v>0.301</v>
      </c>
      <c r="K3" s="7" t="n">
        <v>25</v>
      </c>
      <c r="L3" s="13" t="n">
        <v>500000</v>
      </c>
      <c r="M3" s="13" t="n">
        <v>100000000</v>
      </c>
      <c r="N3" s="7" t="s">
        <v>86</v>
      </c>
      <c r="O3" s="7" t="s">
        <v>87</v>
      </c>
      <c r="P3" s="8" t="s">
        <v>88</v>
      </c>
      <c r="Q3" s="8" t="s">
        <v>89</v>
      </c>
      <c r="R3" s="14" t="n">
        <v>46317</v>
      </c>
      <c r="S3" s="11" t="str">
        <f aca="true">IF(R3="","",IF(TODAY()-R3&gt;14,"Обновить","Актуально"))</f>
        <v>Актуально</v>
      </c>
      <c r="T3" s="8" t="s">
        <v>90</v>
      </c>
    </row>
    <row r="4" customFormat="false" ht="78" hidden="false" customHeight="true" outlineLevel="0" collapsed="false">
      <c r="A4" s="11" t="n">
        <f aca="false">IF(B4="","",ROW()-2)</f>
        <v>2</v>
      </c>
      <c r="B4" s="7" t="s">
        <v>34</v>
      </c>
      <c r="C4" s="8" t="s">
        <v>91</v>
      </c>
      <c r="D4" s="7" t="s">
        <v>82</v>
      </c>
      <c r="E4" s="7" t="s">
        <v>83</v>
      </c>
      <c r="F4" s="7" t="s">
        <v>84</v>
      </c>
      <c r="G4" s="12" t="n">
        <v>0.1959</v>
      </c>
      <c r="H4" s="12"/>
      <c r="I4" s="8" t="s">
        <v>92</v>
      </c>
      <c r="J4" s="12"/>
      <c r="K4" s="7" t="n">
        <v>30</v>
      </c>
      <c r="L4" s="13" t="n">
        <v>750000</v>
      </c>
      <c r="M4" s="13" t="n">
        <v>100000000</v>
      </c>
      <c r="N4" s="7" t="s">
        <v>86</v>
      </c>
      <c r="O4" s="7" t="s">
        <v>86</v>
      </c>
      <c r="P4" s="8" t="s">
        <v>93</v>
      </c>
      <c r="Q4" s="8" t="s">
        <v>94</v>
      </c>
      <c r="R4" s="14" t="n">
        <v>46314</v>
      </c>
      <c r="S4" s="11" t="str">
        <f aca="true">IF(R4="","",IF(TODAY()-R4&gt;14,"Обновить","Актуально"))</f>
        <v>Актуально</v>
      </c>
      <c r="T4" s="8" t="s">
        <v>95</v>
      </c>
    </row>
    <row r="5" customFormat="false" ht="78" hidden="false" customHeight="true" outlineLevel="0" collapsed="false">
      <c r="A5" s="11" t="n">
        <f aca="false">IF(B5="","",ROW()-2)</f>
        <v>3</v>
      </c>
      <c r="B5" s="7" t="s">
        <v>44</v>
      </c>
      <c r="C5" s="8" t="s">
        <v>96</v>
      </c>
      <c r="D5" s="7" t="s">
        <v>82</v>
      </c>
      <c r="E5" s="7" t="s">
        <v>83</v>
      </c>
      <c r="F5" s="7" t="s">
        <v>84</v>
      </c>
      <c r="G5" s="12" t="n">
        <v>0.1999</v>
      </c>
      <c r="H5" s="12"/>
      <c r="I5" s="8" t="s">
        <v>97</v>
      </c>
      <c r="J5" s="12" t="n">
        <v>0.15</v>
      </c>
      <c r="K5" s="7" t="n">
        <v>30</v>
      </c>
      <c r="L5" s="13" t="n">
        <v>300000</v>
      </c>
      <c r="M5" s="13" t="n">
        <v>50000000</v>
      </c>
      <c r="N5" s="7" t="s">
        <v>86</v>
      </c>
      <c r="O5" s="7" t="s">
        <v>86</v>
      </c>
      <c r="P5" s="8" t="s">
        <v>98</v>
      </c>
      <c r="Q5" s="8" t="s">
        <v>99</v>
      </c>
      <c r="R5" s="14" t="n">
        <v>46297</v>
      </c>
      <c r="S5" s="11" t="str">
        <f aca="true">IF(R5="","",IF(TODAY()-R5&gt;14,"Обновить","Актуально"))</f>
        <v>Обновить</v>
      </c>
      <c r="T5" s="8" t="s">
        <v>100</v>
      </c>
    </row>
    <row r="6" customFormat="false" ht="15" hidden="false" customHeight="true" outlineLevel="0" collapsed="false">
      <c r="A6" s="11" t="str">
        <f aca="false">IF(B6="","",ROW()-2)</f>
        <v/>
      </c>
      <c r="B6" s="7"/>
      <c r="C6" s="8"/>
      <c r="D6" s="7"/>
      <c r="E6" s="7"/>
      <c r="F6" s="7"/>
      <c r="G6" s="12"/>
      <c r="H6" s="12"/>
      <c r="I6" s="8"/>
      <c r="J6" s="12"/>
      <c r="K6" s="7"/>
      <c r="L6" s="13"/>
      <c r="M6" s="13"/>
      <c r="N6" s="7"/>
      <c r="O6" s="7"/>
      <c r="P6" s="8"/>
      <c r="Q6" s="8"/>
      <c r="R6" s="14"/>
      <c r="S6" s="11" t="str">
        <f aca="true">IF(R6="","",IF(TODAY()-R6&gt;14,"Обновить","Актуально"))</f>
        <v/>
      </c>
      <c r="T6" s="8"/>
    </row>
    <row r="7" customFormat="false" ht="15" hidden="false" customHeight="true" outlineLevel="0" collapsed="false">
      <c r="A7" s="11" t="str">
        <f aca="false">IF(B7="","",ROW()-2)</f>
        <v/>
      </c>
      <c r="B7" s="7"/>
      <c r="C7" s="8"/>
      <c r="D7" s="7"/>
      <c r="E7" s="7"/>
      <c r="F7" s="7"/>
      <c r="G7" s="12"/>
      <c r="H7" s="12"/>
      <c r="I7" s="8"/>
      <c r="J7" s="12"/>
      <c r="K7" s="7"/>
      <c r="L7" s="13"/>
      <c r="M7" s="13"/>
      <c r="N7" s="7"/>
      <c r="O7" s="7"/>
      <c r="P7" s="8"/>
      <c r="Q7" s="8"/>
      <c r="R7" s="14"/>
      <c r="S7" s="11" t="str">
        <f aca="true">IF(R7="","",IF(TODAY()-R7&gt;14,"Обновить","Актуально"))</f>
        <v/>
      </c>
      <c r="T7" s="8"/>
    </row>
    <row r="8" customFormat="false" ht="15" hidden="false" customHeight="true" outlineLevel="0" collapsed="false">
      <c r="A8" s="11" t="str">
        <f aca="false">IF(B8="","",ROW()-2)</f>
        <v/>
      </c>
      <c r="B8" s="7"/>
      <c r="C8" s="8"/>
      <c r="D8" s="7"/>
      <c r="E8" s="7"/>
      <c r="F8" s="7"/>
      <c r="G8" s="12"/>
      <c r="H8" s="12"/>
      <c r="I8" s="8"/>
      <c r="J8" s="12"/>
      <c r="K8" s="7"/>
      <c r="L8" s="13"/>
      <c r="M8" s="13"/>
      <c r="N8" s="7"/>
      <c r="O8" s="7"/>
      <c r="P8" s="8"/>
      <c r="Q8" s="8"/>
      <c r="R8" s="14"/>
      <c r="S8" s="11" t="str">
        <f aca="true">IF(R8="","",IF(TODAY()-R8&gt;14,"Обновить","Актуально"))</f>
        <v/>
      </c>
      <c r="T8" s="8"/>
    </row>
    <row r="9" customFormat="false" ht="15" hidden="false" customHeight="true" outlineLevel="0" collapsed="false">
      <c r="A9" s="11" t="str">
        <f aca="false">IF(B9="","",ROW()-2)</f>
        <v/>
      </c>
      <c r="B9" s="7"/>
      <c r="C9" s="8"/>
      <c r="D9" s="7"/>
      <c r="E9" s="7"/>
      <c r="F9" s="7"/>
      <c r="G9" s="12"/>
      <c r="H9" s="12"/>
      <c r="I9" s="8"/>
      <c r="J9" s="12"/>
      <c r="K9" s="7"/>
      <c r="L9" s="13"/>
      <c r="M9" s="13"/>
      <c r="N9" s="7"/>
      <c r="O9" s="7"/>
      <c r="P9" s="8"/>
      <c r="Q9" s="8"/>
      <c r="R9" s="14"/>
      <c r="S9" s="11" t="str">
        <f aca="true">IF(R9="","",IF(TODAY()-R9&gt;14,"Обновить","Актуально"))</f>
        <v/>
      </c>
      <c r="T9" s="8"/>
    </row>
    <row r="10" customFormat="false" ht="15" hidden="false" customHeight="true" outlineLevel="0" collapsed="false">
      <c r="A10" s="11" t="str">
        <f aca="false">IF(B10="","",ROW()-2)</f>
        <v/>
      </c>
      <c r="B10" s="7"/>
      <c r="C10" s="8"/>
      <c r="D10" s="7"/>
      <c r="E10" s="7"/>
      <c r="F10" s="7"/>
      <c r="G10" s="12"/>
      <c r="H10" s="12"/>
      <c r="I10" s="8"/>
      <c r="J10" s="12"/>
      <c r="K10" s="7"/>
      <c r="L10" s="13"/>
      <c r="M10" s="13"/>
      <c r="N10" s="7"/>
      <c r="O10" s="7"/>
      <c r="P10" s="8"/>
      <c r="Q10" s="8"/>
      <c r="R10" s="14"/>
      <c r="S10" s="11" t="str">
        <f aca="true">IF(R10="","",IF(TODAY()-R10&gt;14,"Обновить","Актуально"))</f>
        <v/>
      </c>
      <c r="T10" s="8"/>
    </row>
    <row r="11" customFormat="false" ht="15" hidden="false" customHeight="true" outlineLevel="0" collapsed="false">
      <c r="A11" s="11" t="str">
        <f aca="false">IF(B11="","",ROW()-2)</f>
        <v/>
      </c>
      <c r="B11" s="7"/>
      <c r="C11" s="8"/>
      <c r="D11" s="7"/>
      <c r="E11" s="7"/>
      <c r="F11" s="7"/>
      <c r="G11" s="12"/>
      <c r="H11" s="12"/>
      <c r="I11" s="8"/>
      <c r="J11" s="12"/>
      <c r="K11" s="7"/>
      <c r="L11" s="13"/>
      <c r="M11" s="13"/>
      <c r="N11" s="7"/>
      <c r="O11" s="7"/>
      <c r="P11" s="8"/>
      <c r="Q11" s="8"/>
      <c r="R11" s="14"/>
      <c r="S11" s="11" t="str">
        <f aca="true">IF(R11="","",IF(TODAY()-R11&gt;14,"Обновить","Актуально"))</f>
        <v/>
      </c>
      <c r="T11" s="8"/>
    </row>
    <row r="12" customFormat="false" ht="15" hidden="false" customHeight="true" outlineLevel="0" collapsed="false">
      <c r="A12" s="11" t="str">
        <f aca="false">IF(B12="","",ROW()-2)</f>
        <v/>
      </c>
      <c r="B12" s="7"/>
      <c r="C12" s="8"/>
      <c r="D12" s="7"/>
      <c r="E12" s="7"/>
      <c r="F12" s="7"/>
      <c r="G12" s="12"/>
      <c r="H12" s="12"/>
      <c r="I12" s="8"/>
      <c r="J12" s="12"/>
      <c r="K12" s="7"/>
      <c r="L12" s="13"/>
      <c r="M12" s="13"/>
      <c r="N12" s="7"/>
      <c r="O12" s="7"/>
      <c r="P12" s="8"/>
      <c r="Q12" s="8"/>
      <c r="R12" s="14"/>
      <c r="S12" s="11" t="str">
        <f aca="true">IF(R12="","",IF(TODAY()-R12&gt;14,"Обновить","Актуально"))</f>
        <v/>
      </c>
      <c r="T12" s="8"/>
    </row>
    <row r="13" customFormat="false" ht="15" hidden="false" customHeight="true" outlineLevel="0" collapsed="false">
      <c r="A13" s="11" t="str">
        <f aca="false">IF(B13="","",ROW()-2)</f>
        <v/>
      </c>
      <c r="B13" s="7"/>
      <c r="C13" s="8"/>
      <c r="D13" s="7"/>
      <c r="E13" s="7"/>
      <c r="F13" s="7"/>
      <c r="G13" s="12"/>
      <c r="H13" s="12"/>
      <c r="I13" s="8"/>
      <c r="J13" s="12"/>
      <c r="K13" s="7"/>
      <c r="L13" s="13"/>
      <c r="M13" s="13"/>
      <c r="N13" s="7"/>
      <c r="O13" s="7"/>
      <c r="P13" s="8"/>
      <c r="Q13" s="8"/>
      <c r="R13" s="14"/>
      <c r="S13" s="11" t="str">
        <f aca="true">IF(R13="","",IF(TODAY()-R13&gt;14,"Обновить","Актуально"))</f>
        <v/>
      </c>
      <c r="T13" s="8"/>
    </row>
    <row r="14" customFormat="false" ht="15" hidden="false" customHeight="true" outlineLevel="0" collapsed="false">
      <c r="A14" s="11" t="str">
        <f aca="false">IF(B14="","",ROW()-2)</f>
        <v/>
      </c>
      <c r="B14" s="7"/>
      <c r="C14" s="8"/>
      <c r="D14" s="7"/>
      <c r="E14" s="7"/>
      <c r="F14" s="7"/>
      <c r="G14" s="12"/>
      <c r="H14" s="12"/>
      <c r="I14" s="8"/>
      <c r="J14" s="12"/>
      <c r="K14" s="7"/>
      <c r="L14" s="13"/>
      <c r="M14" s="13"/>
      <c r="N14" s="7"/>
      <c r="O14" s="7"/>
      <c r="P14" s="8"/>
      <c r="Q14" s="8"/>
      <c r="R14" s="14"/>
      <c r="S14" s="11" t="str">
        <f aca="true">IF(R14="","",IF(TODAY()-R14&gt;14,"Обновить","Актуально"))</f>
        <v/>
      </c>
      <c r="T14" s="8"/>
    </row>
    <row r="15" customFormat="false" ht="15" hidden="false" customHeight="true" outlineLevel="0" collapsed="false">
      <c r="A15" s="11" t="str">
        <f aca="false">IF(B15="","",ROW()-2)</f>
        <v/>
      </c>
      <c r="B15" s="7"/>
      <c r="C15" s="8"/>
      <c r="D15" s="7"/>
      <c r="E15" s="7"/>
      <c r="F15" s="7"/>
      <c r="G15" s="12"/>
      <c r="H15" s="12"/>
      <c r="I15" s="8"/>
      <c r="J15" s="12"/>
      <c r="K15" s="7"/>
      <c r="L15" s="13"/>
      <c r="M15" s="13"/>
      <c r="N15" s="7"/>
      <c r="O15" s="7"/>
      <c r="P15" s="8"/>
      <c r="Q15" s="8"/>
      <c r="R15" s="14"/>
      <c r="S15" s="11" t="str">
        <f aca="true">IF(R15="","",IF(TODAY()-R15&gt;14,"Обновить","Актуально"))</f>
        <v/>
      </c>
      <c r="T15" s="8"/>
    </row>
    <row r="16" customFormat="false" ht="15" hidden="false" customHeight="true" outlineLevel="0" collapsed="false">
      <c r="A16" s="11" t="str">
        <f aca="false">IF(B16="","",ROW()-2)</f>
        <v/>
      </c>
      <c r="B16" s="7"/>
      <c r="C16" s="8"/>
      <c r="D16" s="7"/>
      <c r="E16" s="7"/>
      <c r="F16" s="7"/>
      <c r="G16" s="12"/>
      <c r="H16" s="12"/>
      <c r="I16" s="8"/>
      <c r="J16" s="12"/>
      <c r="K16" s="7"/>
      <c r="L16" s="13"/>
      <c r="M16" s="13"/>
      <c r="N16" s="7"/>
      <c r="O16" s="7"/>
      <c r="P16" s="8"/>
      <c r="Q16" s="8"/>
      <c r="R16" s="14"/>
      <c r="S16" s="11" t="str">
        <f aca="true">IF(R16="","",IF(TODAY()-R16&gt;14,"Обновить","Актуально"))</f>
        <v/>
      </c>
      <c r="T16" s="8"/>
    </row>
    <row r="17" customFormat="false" ht="15" hidden="false" customHeight="true" outlineLevel="0" collapsed="false">
      <c r="A17" s="11" t="str">
        <f aca="false">IF(B17="","",ROW()-2)</f>
        <v/>
      </c>
      <c r="B17" s="7"/>
      <c r="C17" s="8"/>
      <c r="D17" s="7"/>
      <c r="E17" s="7"/>
      <c r="F17" s="7"/>
      <c r="G17" s="12"/>
      <c r="H17" s="12"/>
      <c r="I17" s="8"/>
      <c r="J17" s="12"/>
      <c r="K17" s="7"/>
      <c r="L17" s="13"/>
      <c r="M17" s="13"/>
      <c r="N17" s="7"/>
      <c r="O17" s="7"/>
      <c r="P17" s="8"/>
      <c r="Q17" s="8"/>
      <c r="R17" s="14"/>
      <c r="S17" s="11" t="str">
        <f aca="true">IF(R17="","",IF(TODAY()-R17&gt;14,"Обновить","Актуально"))</f>
        <v/>
      </c>
      <c r="T17" s="8"/>
    </row>
    <row r="18" customFormat="false" ht="15" hidden="false" customHeight="true" outlineLevel="0" collapsed="false">
      <c r="A18" s="11" t="str">
        <f aca="false">IF(B18="","",ROW()-2)</f>
        <v/>
      </c>
      <c r="B18" s="7"/>
      <c r="C18" s="8"/>
      <c r="D18" s="7"/>
      <c r="E18" s="7"/>
      <c r="F18" s="7"/>
      <c r="G18" s="12"/>
      <c r="H18" s="12"/>
      <c r="I18" s="8"/>
      <c r="J18" s="12"/>
      <c r="K18" s="7"/>
      <c r="L18" s="13"/>
      <c r="M18" s="13"/>
      <c r="N18" s="7"/>
      <c r="O18" s="7"/>
      <c r="P18" s="8"/>
      <c r="Q18" s="8"/>
      <c r="R18" s="14"/>
      <c r="S18" s="11" t="str">
        <f aca="true">IF(R18="","",IF(TODAY()-R18&gt;14,"Обновить","Актуально"))</f>
        <v/>
      </c>
      <c r="T18" s="8"/>
    </row>
    <row r="19" customFormat="false" ht="15" hidden="false" customHeight="true" outlineLevel="0" collapsed="false">
      <c r="A19" s="11" t="str">
        <f aca="false">IF(B19="","",ROW()-2)</f>
        <v/>
      </c>
      <c r="B19" s="7"/>
      <c r="C19" s="8"/>
      <c r="D19" s="7"/>
      <c r="E19" s="7"/>
      <c r="F19" s="7"/>
      <c r="G19" s="12"/>
      <c r="H19" s="12"/>
      <c r="I19" s="8"/>
      <c r="J19" s="12"/>
      <c r="K19" s="7"/>
      <c r="L19" s="13"/>
      <c r="M19" s="13"/>
      <c r="N19" s="7"/>
      <c r="O19" s="7"/>
      <c r="P19" s="8"/>
      <c r="Q19" s="8"/>
      <c r="R19" s="14"/>
      <c r="S19" s="11" t="str">
        <f aca="true">IF(R19="","",IF(TODAY()-R19&gt;14,"Обновить","Актуально"))</f>
        <v/>
      </c>
      <c r="T19" s="8"/>
    </row>
    <row r="20" customFormat="false" ht="15" hidden="false" customHeight="true" outlineLevel="0" collapsed="false">
      <c r="A20" s="11" t="str">
        <f aca="false">IF(B20="","",ROW()-2)</f>
        <v/>
      </c>
      <c r="B20" s="7"/>
      <c r="C20" s="8"/>
      <c r="D20" s="7"/>
      <c r="E20" s="7"/>
      <c r="F20" s="7"/>
      <c r="G20" s="12"/>
      <c r="H20" s="12"/>
      <c r="I20" s="8"/>
      <c r="J20" s="12"/>
      <c r="K20" s="7"/>
      <c r="L20" s="13"/>
      <c r="M20" s="13"/>
      <c r="N20" s="7"/>
      <c r="O20" s="7"/>
      <c r="P20" s="8"/>
      <c r="Q20" s="8"/>
      <c r="R20" s="14"/>
      <c r="S20" s="11" t="str">
        <f aca="true">IF(R20="","",IF(TODAY()-R20&gt;14,"Обновить","Актуально"))</f>
        <v/>
      </c>
      <c r="T20" s="8"/>
    </row>
    <row r="21" customFormat="false" ht="15" hidden="false" customHeight="true" outlineLevel="0" collapsed="false">
      <c r="A21" s="11" t="str">
        <f aca="false">IF(B21="","",ROW()-2)</f>
        <v/>
      </c>
      <c r="B21" s="7"/>
      <c r="C21" s="8"/>
      <c r="D21" s="7"/>
      <c r="E21" s="7"/>
      <c r="F21" s="7"/>
      <c r="G21" s="12"/>
      <c r="H21" s="12"/>
      <c r="I21" s="8"/>
      <c r="J21" s="12"/>
      <c r="K21" s="7"/>
      <c r="L21" s="13"/>
      <c r="M21" s="13"/>
      <c r="N21" s="7"/>
      <c r="O21" s="7"/>
      <c r="P21" s="8"/>
      <c r="Q21" s="8"/>
      <c r="R21" s="14"/>
      <c r="S21" s="11" t="str">
        <f aca="true">IF(R21="","",IF(TODAY()-R21&gt;14,"Обновить","Актуально"))</f>
        <v/>
      </c>
      <c r="T21" s="8"/>
    </row>
    <row r="22" customFormat="false" ht="15" hidden="false" customHeight="true" outlineLevel="0" collapsed="false">
      <c r="A22" s="11" t="str">
        <f aca="false">IF(B22="","",ROW()-2)</f>
        <v/>
      </c>
      <c r="B22" s="7"/>
      <c r="C22" s="8"/>
      <c r="D22" s="7"/>
      <c r="E22" s="7"/>
      <c r="F22" s="7"/>
      <c r="G22" s="12"/>
      <c r="H22" s="12"/>
      <c r="I22" s="8"/>
      <c r="J22" s="12"/>
      <c r="K22" s="7"/>
      <c r="L22" s="13"/>
      <c r="M22" s="13"/>
      <c r="N22" s="7"/>
      <c r="O22" s="7"/>
      <c r="P22" s="8"/>
      <c r="Q22" s="8"/>
      <c r="R22" s="14"/>
      <c r="S22" s="11" t="str">
        <f aca="true">IF(R22="","",IF(TODAY()-R22&gt;14,"Обновить","Актуально"))</f>
        <v/>
      </c>
      <c r="T22" s="8"/>
    </row>
    <row r="23" customFormat="false" ht="15" hidden="false" customHeight="true" outlineLevel="0" collapsed="false">
      <c r="A23" s="11" t="str">
        <f aca="false">IF(B23="","",ROW()-2)</f>
        <v/>
      </c>
      <c r="B23" s="7"/>
      <c r="C23" s="8"/>
      <c r="D23" s="7"/>
      <c r="E23" s="7"/>
      <c r="F23" s="7"/>
      <c r="G23" s="12"/>
      <c r="H23" s="12"/>
      <c r="I23" s="8"/>
      <c r="J23" s="12"/>
      <c r="K23" s="7"/>
      <c r="L23" s="13"/>
      <c r="M23" s="13"/>
      <c r="N23" s="7"/>
      <c r="O23" s="7"/>
      <c r="P23" s="8"/>
      <c r="Q23" s="8"/>
      <c r="R23" s="14"/>
      <c r="S23" s="11" t="str">
        <f aca="true">IF(R23="","",IF(TODAY()-R23&gt;14,"Обновить","Актуально"))</f>
        <v/>
      </c>
      <c r="T23" s="8"/>
    </row>
    <row r="24" customFormat="false" ht="15" hidden="false" customHeight="true" outlineLevel="0" collapsed="false">
      <c r="A24" s="11" t="str">
        <f aca="false">IF(B24="","",ROW()-2)</f>
        <v/>
      </c>
      <c r="B24" s="7"/>
      <c r="C24" s="8"/>
      <c r="D24" s="7"/>
      <c r="E24" s="7"/>
      <c r="F24" s="7"/>
      <c r="G24" s="12"/>
      <c r="H24" s="12"/>
      <c r="I24" s="8"/>
      <c r="J24" s="12"/>
      <c r="K24" s="7"/>
      <c r="L24" s="13"/>
      <c r="M24" s="13"/>
      <c r="N24" s="7"/>
      <c r="O24" s="7"/>
      <c r="P24" s="8"/>
      <c r="Q24" s="8"/>
      <c r="R24" s="14"/>
      <c r="S24" s="11" t="str">
        <f aca="true">IF(R24="","",IF(TODAY()-R24&gt;14,"Обновить","Актуально"))</f>
        <v/>
      </c>
      <c r="T24" s="8"/>
    </row>
    <row r="25" customFormat="false" ht="15" hidden="false" customHeight="true" outlineLevel="0" collapsed="false">
      <c r="A25" s="11" t="str">
        <f aca="false">IF(B25="","",ROW()-2)</f>
        <v/>
      </c>
      <c r="B25" s="7"/>
      <c r="C25" s="8"/>
      <c r="D25" s="7"/>
      <c r="E25" s="7"/>
      <c r="F25" s="7"/>
      <c r="G25" s="12"/>
      <c r="H25" s="12"/>
      <c r="I25" s="8"/>
      <c r="J25" s="12"/>
      <c r="K25" s="7"/>
      <c r="L25" s="13"/>
      <c r="M25" s="13"/>
      <c r="N25" s="7"/>
      <c r="O25" s="7"/>
      <c r="P25" s="8"/>
      <c r="Q25" s="8"/>
      <c r="R25" s="14"/>
      <c r="S25" s="11" t="str">
        <f aca="true">IF(R25="","",IF(TODAY()-R25&gt;14,"Обновить","Актуально"))</f>
        <v/>
      </c>
      <c r="T25" s="8"/>
    </row>
    <row r="26" customFormat="false" ht="15" hidden="false" customHeight="true" outlineLevel="0" collapsed="false">
      <c r="A26" s="11" t="str">
        <f aca="false">IF(B26="","",ROW()-2)</f>
        <v/>
      </c>
      <c r="B26" s="7"/>
      <c r="C26" s="8"/>
      <c r="D26" s="7"/>
      <c r="E26" s="7"/>
      <c r="F26" s="7"/>
      <c r="G26" s="12"/>
      <c r="H26" s="12"/>
      <c r="I26" s="8"/>
      <c r="J26" s="12"/>
      <c r="K26" s="7"/>
      <c r="L26" s="13"/>
      <c r="M26" s="13"/>
      <c r="N26" s="7"/>
      <c r="O26" s="7"/>
      <c r="P26" s="8"/>
      <c r="Q26" s="8"/>
      <c r="R26" s="14"/>
      <c r="S26" s="11" t="str">
        <f aca="true">IF(R26="","",IF(TODAY()-R26&gt;14,"Обновить","Актуально"))</f>
        <v/>
      </c>
      <c r="T26" s="8"/>
    </row>
    <row r="27" customFormat="false" ht="15" hidden="false" customHeight="true" outlineLevel="0" collapsed="false">
      <c r="A27" s="11" t="str">
        <f aca="false">IF(B27="","",ROW()-2)</f>
        <v/>
      </c>
      <c r="B27" s="7"/>
      <c r="C27" s="8"/>
      <c r="D27" s="7"/>
      <c r="E27" s="7"/>
      <c r="F27" s="7"/>
      <c r="G27" s="12"/>
      <c r="H27" s="12"/>
      <c r="I27" s="8"/>
      <c r="J27" s="12"/>
      <c r="K27" s="7"/>
      <c r="L27" s="13"/>
      <c r="M27" s="13"/>
      <c r="N27" s="7"/>
      <c r="O27" s="7"/>
      <c r="P27" s="8"/>
      <c r="Q27" s="8"/>
      <c r="R27" s="14"/>
      <c r="S27" s="11" t="str">
        <f aca="true">IF(R27="","",IF(TODAY()-R27&gt;14,"Обновить","Актуально"))</f>
        <v/>
      </c>
      <c r="T27" s="8"/>
    </row>
    <row r="28" customFormat="false" ht="15" hidden="false" customHeight="true" outlineLevel="0" collapsed="false">
      <c r="A28" s="11" t="str">
        <f aca="false">IF(B28="","",ROW()-2)</f>
        <v/>
      </c>
      <c r="B28" s="7"/>
      <c r="C28" s="8"/>
      <c r="D28" s="7"/>
      <c r="E28" s="7"/>
      <c r="F28" s="7"/>
      <c r="G28" s="12"/>
      <c r="H28" s="12"/>
      <c r="I28" s="8"/>
      <c r="J28" s="12"/>
      <c r="K28" s="7"/>
      <c r="L28" s="13"/>
      <c r="M28" s="13"/>
      <c r="N28" s="7"/>
      <c r="O28" s="7"/>
      <c r="P28" s="8"/>
      <c r="Q28" s="8"/>
      <c r="R28" s="14"/>
      <c r="S28" s="11" t="str">
        <f aca="true">IF(R28="","",IF(TODAY()-R28&gt;14,"Обновить","Актуально"))</f>
        <v/>
      </c>
      <c r="T28" s="8"/>
    </row>
    <row r="29" customFormat="false" ht="15" hidden="false" customHeight="true" outlineLevel="0" collapsed="false">
      <c r="A29" s="11" t="str">
        <f aca="false">IF(B29="","",ROW()-2)</f>
        <v/>
      </c>
      <c r="B29" s="7"/>
      <c r="C29" s="8"/>
      <c r="D29" s="7"/>
      <c r="E29" s="7"/>
      <c r="F29" s="7"/>
      <c r="G29" s="12"/>
      <c r="H29" s="12"/>
      <c r="I29" s="8"/>
      <c r="J29" s="12"/>
      <c r="K29" s="7"/>
      <c r="L29" s="13"/>
      <c r="M29" s="13"/>
      <c r="N29" s="7"/>
      <c r="O29" s="7"/>
      <c r="P29" s="8"/>
      <c r="Q29" s="8"/>
      <c r="R29" s="14"/>
      <c r="S29" s="11" t="str">
        <f aca="true">IF(R29="","",IF(TODAY()-R29&gt;14,"Обновить","Актуально"))</f>
        <v/>
      </c>
      <c r="T29" s="8"/>
    </row>
    <row r="30" customFormat="false" ht="15" hidden="false" customHeight="true" outlineLevel="0" collapsed="false">
      <c r="A30" s="11" t="str">
        <f aca="false">IF(B30="","",ROW()-2)</f>
        <v/>
      </c>
      <c r="B30" s="7"/>
      <c r="C30" s="8"/>
      <c r="D30" s="7"/>
      <c r="E30" s="7"/>
      <c r="F30" s="7"/>
      <c r="G30" s="12"/>
      <c r="H30" s="12"/>
      <c r="I30" s="8"/>
      <c r="J30" s="12"/>
      <c r="K30" s="7"/>
      <c r="L30" s="13"/>
      <c r="M30" s="13"/>
      <c r="N30" s="7"/>
      <c r="O30" s="7"/>
      <c r="P30" s="8"/>
      <c r="Q30" s="8"/>
      <c r="R30" s="14"/>
      <c r="S30" s="11" t="str">
        <f aca="true">IF(R30="","",IF(TODAY()-R30&gt;14,"Обновить","Актуально"))</f>
        <v/>
      </c>
      <c r="T30" s="8"/>
    </row>
    <row r="31" customFormat="false" ht="15" hidden="false" customHeight="true" outlineLevel="0" collapsed="false">
      <c r="A31" s="11" t="str">
        <f aca="false">IF(B31="","",ROW()-2)</f>
        <v/>
      </c>
      <c r="B31" s="7"/>
      <c r="C31" s="8"/>
      <c r="D31" s="7"/>
      <c r="E31" s="7"/>
      <c r="F31" s="7"/>
      <c r="G31" s="12"/>
      <c r="H31" s="12"/>
      <c r="I31" s="8"/>
      <c r="J31" s="12"/>
      <c r="K31" s="7"/>
      <c r="L31" s="13"/>
      <c r="M31" s="13"/>
      <c r="N31" s="7"/>
      <c r="O31" s="7"/>
      <c r="P31" s="8"/>
      <c r="Q31" s="8"/>
      <c r="R31" s="14"/>
      <c r="S31" s="11" t="str">
        <f aca="true">IF(R31="","",IF(TODAY()-R31&gt;14,"Обновить","Актуально"))</f>
        <v/>
      </c>
      <c r="T31" s="8"/>
    </row>
    <row r="32" customFormat="false" ht="15" hidden="false" customHeight="true" outlineLevel="0" collapsed="false">
      <c r="A32" s="11" t="str">
        <f aca="false">IF(B32="","",ROW()-2)</f>
        <v/>
      </c>
      <c r="B32" s="7"/>
      <c r="C32" s="8"/>
      <c r="D32" s="7"/>
      <c r="E32" s="7"/>
      <c r="F32" s="7"/>
      <c r="G32" s="12"/>
      <c r="H32" s="12"/>
      <c r="I32" s="8"/>
      <c r="J32" s="12"/>
      <c r="K32" s="7"/>
      <c r="L32" s="13"/>
      <c r="M32" s="13"/>
      <c r="N32" s="7"/>
      <c r="O32" s="7"/>
      <c r="P32" s="8"/>
      <c r="Q32" s="8"/>
      <c r="R32" s="14"/>
      <c r="S32" s="11" t="str">
        <f aca="true">IF(R32="","",IF(TODAY()-R32&gt;14,"Обновить","Актуально"))</f>
        <v/>
      </c>
      <c r="T32" s="8"/>
    </row>
    <row r="33" customFormat="false" ht="15" hidden="false" customHeight="true" outlineLevel="0" collapsed="false">
      <c r="A33" s="11" t="str">
        <f aca="false">IF(B33="","",ROW()-2)</f>
        <v/>
      </c>
      <c r="B33" s="7"/>
      <c r="C33" s="8"/>
      <c r="D33" s="7"/>
      <c r="E33" s="7"/>
      <c r="F33" s="7"/>
      <c r="G33" s="12"/>
      <c r="H33" s="12"/>
      <c r="I33" s="8"/>
      <c r="J33" s="12"/>
      <c r="K33" s="7"/>
      <c r="L33" s="13"/>
      <c r="M33" s="13"/>
      <c r="N33" s="7"/>
      <c r="O33" s="7"/>
      <c r="P33" s="8"/>
      <c r="Q33" s="8"/>
      <c r="R33" s="14"/>
      <c r="S33" s="11" t="str">
        <f aca="true">IF(R33="","",IF(TODAY()-R33&gt;14,"Обновить","Актуально"))</f>
        <v/>
      </c>
      <c r="T33" s="8"/>
    </row>
    <row r="34" customFormat="false" ht="15" hidden="false" customHeight="true" outlineLevel="0" collapsed="false">
      <c r="A34" s="11" t="str">
        <f aca="false">IF(B34="","",ROW()-2)</f>
        <v/>
      </c>
      <c r="B34" s="7"/>
      <c r="C34" s="8"/>
      <c r="D34" s="7"/>
      <c r="E34" s="7"/>
      <c r="F34" s="7"/>
      <c r="G34" s="12"/>
      <c r="H34" s="12"/>
      <c r="I34" s="8"/>
      <c r="J34" s="12"/>
      <c r="K34" s="7"/>
      <c r="L34" s="13"/>
      <c r="M34" s="13"/>
      <c r="N34" s="7"/>
      <c r="O34" s="7"/>
      <c r="P34" s="8"/>
      <c r="Q34" s="8"/>
      <c r="R34" s="14"/>
      <c r="S34" s="11" t="str">
        <f aca="true">IF(R34="","",IF(TODAY()-R34&gt;14,"Обновить","Актуально"))</f>
        <v/>
      </c>
      <c r="T34" s="8"/>
    </row>
    <row r="35" customFormat="false" ht="15" hidden="false" customHeight="true" outlineLevel="0" collapsed="false">
      <c r="A35" s="11" t="str">
        <f aca="false">IF(B35="","",ROW()-2)</f>
        <v/>
      </c>
      <c r="B35" s="7"/>
      <c r="C35" s="8"/>
      <c r="D35" s="7"/>
      <c r="E35" s="7"/>
      <c r="F35" s="7"/>
      <c r="G35" s="12"/>
      <c r="H35" s="12"/>
      <c r="I35" s="8"/>
      <c r="J35" s="12"/>
      <c r="K35" s="7"/>
      <c r="L35" s="13"/>
      <c r="M35" s="13"/>
      <c r="N35" s="7"/>
      <c r="O35" s="7"/>
      <c r="P35" s="8"/>
      <c r="Q35" s="8"/>
      <c r="R35" s="14"/>
      <c r="S35" s="11" t="str">
        <f aca="true">IF(R35="","",IF(TODAY()-R35&gt;14,"Обновить","Актуально"))</f>
        <v/>
      </c>
      <c r="T35" s="8"/>
    </row>
    <row r="36" customFormat="false" ht="15" hidden="false" customHeight="true" outlineLevel="0" collapsed="false">
      <c r="A36" s="11" t="str">
        <f aca="false">IF(B36="","",ROW()-2)</f>
        <v/>
      </c>
      <c r="B36" s="7"/>
      <c r="C36" s="8"/>
      <c r="D36" s="7"/>
      <c r="E36" s="7"/>
      <c r="F36" s="7"/>
      <c r="G36" s="12"/>
      <c r="H36" s="12"/>
      <c r="I36" s="8"/>
      <c r="J36" s="12"/>
      <c r="K36" s="7"/>
      <c r="L36" s="13"/>
      <c r="M36" s="13"/>
      <c r="N36" s="7"/>
      <c r="O36" s="7"/>
      <c r="P36" s="8"/>
      <c r="Q36" s="8"/>
      <c r="R36" s="14"/>
      <c r="S36" s="11" t="str">
        <f aca="true">IF(R36="","",IF(TODAY()-R36&gt;14,"Обновить","Актуально"))</f>
        <v/>
      </c>
      <c r="T36" s="8"/>
    </row>
    <row r="37" customFormat="false" ht="15" hidden="false" customHeight="true" outlineLevel="0" collapsed="false">
      <c r="A37" s="11" t="str">
        <f aca="false">IF(B37="","",ROW()-2)</f>
        <v/>
      </c>
      <c r="B37" s="7"/>
      <c r="C37" s="8"/>
      <c r="D37" s="7"/>
      <c r="E37" s="7"/>
      <c r="F37" s="7"/>
      <c r="G37" s="12"/>
      <c r="H37" s="12"/>
      <c r="I37" s="8"/>
      <c r="J37" s="12"/>
      <c r="K37" s="7"/>
      <c r="L37" s="13"/>
      <c r="M37" s="13"/>
      <c r="N37" s="7"/>
      <c r="O37" s="7"/>
      <c r="P37" s="8"/>
      <c r="Q37" s="8"/>
      <c r="R37" s="14"/>
      <c r="S37" s="11" t="str">
        <f aca="true">IF(R37="","",IF(TODAY()-R37&gt;14,"Обновить","Актуально"))</f>
        <v/>
      </c>
      <c r="T37" s="8"/>
    </row>
    <row r="38" customFormat="false" ht="15" hidden="false" customHeight="true" outlineLevel="0" collapsed="false">
      <c r="A38" s="11" t="str">
        <f aca="false">IF(B38="","",ROW()-2)</f>
        <v/>
      </c>
      <c r="B38" s="7"/>
      <c r="C38" s="8"/>
      <c r="D38" s="7"/>
      <c r="E38" s="7"/>
      <c r="F38" s="7"/>
      <c r="G38" s="12"/>
      <c r="H38" s="12"/>
      <c r="I38" s="8"/>
      <c r="J38" s="12"/>
      <c r="K38" s="7"/>
      <c r="L38" s="13"/>
      <c r="M38" s="13"/>
      <c r="N38" s="7"/>
      <c r="O38" s="7"/>
      <c r="P38" s="8"/>
      <c r="Q38" s="8"/>
      <c r="R38" s="14"/>
      <c r="S38" s="11" t="str">
        <f aca="true">IF(R38="","",IF(TODAY()-R38&gt;14,"Обновить","Актуально"))</f>
        <v/>
      </c>
      <c r="T38" s="8"/>
    </row>
    <row r="39" customFormat="false" ht="15" hidden="false" customHeight="true" outlineLevel="0" collapsed="false">
      <c r="A39" s="11" t="str">
        <f aca="false">IF(B39="","",ROW()-2)</f>
        <v/>
      </c>
      <c r="B39" s="7"/>
      <c r="C39" s="8"/>
      <c r="D39" s="7"/>
      <c r="E39" s="7"/>
      <c r="F39" s="7"/>
      <c r="G39" s="12"/>
      <c r="H39" s="12"/>
      <c r="I39" s="8"/>
      <c r="J39" s="12"/>
      <c r="K39" s="7"/>
      <c r="L39" s="13"/>
      <c r="M39" s="13"/>
      <c r="N39" s="7"/>
      <c r="O39" s="7"/>
      <c r="P39" s="8"/>
      <c r="Q39" s="8"/>
      <c r="R39" s="14"/>
      <c r="S39" s="11" t="str">
        <f aca="true">IF(R39="","",IF(TODAY()-R39&gt;14,"Обновить","Актуально"))</f>
        <v/>
      </c>
      <c r="T39" s="8"/>
    </row>
    <row r="40" customFormat="false" ht="15" hidden="false" customHeight="true" outlineLevel="0" collapsed="false">
      <c r="A40" s="11" t="str">
        <f aca="false">IF(B40="","",ROW()-2)</f>
        <v/>
      </c>
      <c r="B40" s="7"/>
      <c r="C40" s="8"/>
      <c r="D40" s="7"/>
      <c r="E40" s="7"/>
      <c r="F40" s="7"/>
      <c r="G40" s="12"/>
      <c r="H40" s="12"/>
      <c r="I40" s="8"/>
      <c r="J40" s="12"/>
      <c r="K40" s="7"/>
      <c r="L40" s="13"/>
      <c r="M40" s="13"/>
      <c r="N40" s="7"/>
      <c r="O40" s="7"/>
      <c r="P40" s="8"/>
      <c r="Q40" s="8"/>
      <c r="R40" s="14"/>
      <c r="S40" s="11" t="str">
        <f aca="true">IF(R40="","",IF(TODAY()-R40&gt;14,"Обновить","Актуально"))</f>
        <v/>
      </c>
      <c r="T40" s="8"/>
    </row>
    <row r="41" customFormat="false" ht="15" hidden="false" customHeight="true" outlineLevel="0" collapsed="false">
      <c r="A41" s="11" t="str">
        <f aca="false">IF(B41="","",ROW()-2)</f>
        <v/>
      </c>
      <c r="B41" s="7"/>
      <c r="C41" s="8"/>
      <c r="D41" s="7"/>
      <c r="E41" s="7"/>
      <c r="F41" s="7"/>
      <c r="G41" s="12"/>
      <c r="H41" s="12"/>
      <c r="I41" s="8"/>
      <c r="J41" s="12"/>
      <c r="K41" s="7"/>
      <c r="L41" s="13"/>
      <c r="M41" s="13"/>
      <c r="N41" s="7"/>
      <c r="O41" s="7"/>
      <c r="P41" s="8"/>
      <c r="Q41" s="8"/>
      <c r="R41" s="14"/>
      <c r="S41" s="11" t="str">
        <f aca="true">IF(R41="","",IF(TODAY()-R41&gt;14,"Обновить","Актуально"))</f>
        <v/>
      </c>
      <c r="T41" s="8"/>
    </row>
    <row r="42" customFormat="false" ht="15" hidden="false" customHeight="true" outlineLevel="0" collapsed="false">
      <c r="A42" s="11" t="str">
        <f aca="false">IF(B42="","",ROW()-2)</f>
        <v/>
      </c>
      <c r="B42" s="7"/>
      <c r="C42" s="8"/>
      <c r="D42" s="7"/>
      <c r="E42" s="7"/>
      <c r="F42" s="7"/>
      <c r="G42" s="12"/>
      <c r="H42" s="12"/>
      <c r="I42" s="8"/>
      <c r="J42" s="12"/>
      <c r="K42" s="7"/>
      <c r="L42" s="13"/>
      <c r="M42" s="13"/>
      <c r="N42" s="7"/>
      <c r="O42" s="7"/>
      <c r="P42" s="8"/>
      <c r="Q42" s="8"/>
      <c r="R42" s="14"/>
      <c r="S42" s="11" t="str">
        <f aca="true">IF(R42="","",IF(TODAY()-R42&gt;14,"Обновить","Актуально"))</f>
        <v/>
      </c>
      <c r="T42" s="8"/>
    </row>
    <row r="43" customFormat="false" ht="15" hidden="false" customHeight="true" outlineLevel="0" collapsed="false">
      <c r="A43" s="11" t="str">
        <f aca="false">IF(B43="","",ROW()-2)</f>
        <v/>
      </c>
      <c r="B43" s="7"/>
      <c r="C43" s="8"/>
      <c r="D43" s="7"/>
      <c r="E43" s="7"/>
      <c r="F43" s="7"/>
      <c r="G43" s="12"/>
      <c r="H43" s="12"/>
      <c r="I43" s="8"/>
      <c r="J43" s="12"/>
      <c r="K43" s="7"/>
      <c r="L43" s="13"/>
      <c r="M43" s="13"/>
      <c r="N43" s="7"/>
      <c r="O43" s="7"/>
      <c r="P43" s="8"/>
      <c r="Q43" s="8"/>
      <c r="R43" s="14"/>
      <c r="S43" s="11" t="str">
        <f aca="true">IF(R43="","",IF(TODAY()-R43&gt;14,"Обновить","Актуально"))</f>
        <v/>
      </c>
      <c r="T43" s="8"/>
    </row>
    <row r="44" customFormat="false" ht="15" hidden="false" customHeight="true" outlineLevel="0" collapsed="false">
      <c r="A44" s="11" t="str">
        <f aca="false">IF(B44="","",ROW()-2)</f>
        <v/>
      </c>
      <c r="B44" s="7"/>
      <c r="C44" s="8"/>
      <c r="D44" s="7"/>
      <c r="E44" s="7"/>
      <c r="F44" s="7"/>
      <c r="G44" s="12"/>
      <c r="H44" s="12"/>
      <c r="I44" s="8"/>
      <c r="J44" s="12"/>
      <c r="K44" s="7"/>
      <c r="L44" s="13"/>
      <c r="M44" s="13"/>
      <c r="N44" s="7"/>
      <c r="O44" s="7"/>
      <c r="P44" s="8"/>
      <c r="Q44" s="8"/>
      <c r="R44" s="14"/>
      <c r="S44" s="11" t="str">
        <f aca="true">IF(R44="","",IF(TODAY()-R44&gt;14,"Обновить","Актуально"))</f>
        <v/>
      </c>
      <c r="T44" s="8"/>
    </row>
    <row r="45" customFormat="false" ht="15" hidden="false" customHeight="true" outlineLevel="0" collapsed="false">
      <c r="A45" s="11" t="str">
        <f aca="false">IF(B45="","",ROW()-2)</f>
        <v/>
      </c>
      <c r="B45" s="7"/>
      <c r="C45" s="8"/>
      <c r="D45" s="7"/>
      <c r="E45" s="7"/>
      <c r="F45" s="7"/>
      <c r="G45" s="12"/>
      <c r="H45" s="12"/>
      <c r="I45" s="8"/>
      <c r="J45" s="12"/>
      <c r="K45" s="7"/>
      <c r="L45" s="13"/>
      <c r="M45" s="13"/>
      <c r="N45" s="7"/>
      <c r="O45" s="7"/>
      <c r="P45" s="8"/>
      <c r="Q45" s="8"/>
      <c r="R45" s="14"/>
      <c r="S45" s="11" t="str">
        <f aca="true">IF(R45="","",IF(TODAY()-R45&gt;14,"Обновить","Актуально"))</f>
        <v/>
      </c>
      <c r="T45" s="8"/>
    </row>
    <row r="46" customFormat="false" ht="15" hidden="false" customHeight="true" outlineLevel="0" collapsed="false">
      <c r="A46" s="11" t="str">
        <f aca="false">IF(B46="","",ROW()-2)</f>
        <v/>
      </c>
      <c r="B46" s="7"/>
      <c r="C46" s="8"/>
      <c r="D46" s="7"/>
      <c r="E46" s="7"/>
      <c r="F46" s="7"/>
      <c r="G46" s="12"/>
      <c r="H46" s="12"/>
      <c r="I46" s="8"/>
      <c r="J46" s="12"/>
      <c r="K46" s="7"/>
      <c r="L46" s="13"/>
      <c r="M46" s="13"/>
      <c r="N46" s="7"/>
      <c r="O46" s="7"/>
      <c r="P46" s="8"/>
      <c r="Q46" s="8"/>
      <c r="R46" s="14"/>
      <c r="S46" s="11" t="str">
        <f aca="true">IF(R46="","",IF(TODAY()-R46&gt;14,"Обновить","Актуально"))</f>
        <v/>
      </c>
      <c r="T46" s="8"/>
    </row>
    <row r="47" customFormat="false" ht="15" hidden="false" customHeight="true" outlineLevel="0" collapsed="false">
      <c r="A47" s="11" t="str">
        <f aca="false">IF(B47="","",ROW()-2)</f>
        <v/>
      </c>
      <c r="B47" s="7"/>
      <c r="C47" s="8"/>
      <c r="D47" s="7"/>
      <c r="E47" s="7"/>
      <c r="F47" s="7"/>
      <c r="G47" s="12"/>
      <c r="H47" s="12"/>
      <c r="I47" s="8"/>
      <c r="J47" s="12"/>
      <c r="K47" s="7"/>
      <c r="L47" s="13"/>
      <c r="M47" s="13"/>
      <c r="N47" s="7"/>
      <c r="O47" s="7"/>
      <c r="P47" s="8"/>
      <c r="Q47" s="8"/>
      <c r="R47" s="14"/>
      <c r="S47" s="11" t="str">
        <f aca="true">IF(R47="","",IF(TODAY()-R47&gt;14,"Обновить","Актуально"))</f>
        <v/>
      </c>
      <c r="T47" s="8"/>
    </row>
    <row r="48" customFormat="false" ht="15" hidden="false" customHeight="true" outlineLevel="0" collapsed="false">
      <c r="A48" s="11" t="str">
        <f aca="false">IF(B48="","",ROW()-2)</f>
        <v/>
      </c>
      <c r="B48" s="7"/>
      <c r="C48" s="8"/>
      <c r="D48" s="7"/>
      <c r="E48" s="7"/>
      <c r="F48" s="7"/>
      <c r="G48" s="12"/>
      <c r="H48" s="12"/>
      <c r="I48" s="8"/>
      <c r="J48" s="12"/>
      <c r="K48" s="7"/>
      <c r="L48" s="13"/>
      <c r="M48" s="13"/>
      <c r="N48" s="7"/>
      <c r="O48" s="7"/>
      <c r="P48" s="8"/>
      <c r="Q48" s="8"/>
      <c r="R48" s="14"/>
      <c r="S48" s="11" t="str">
        <f aca="true">IF(R48="","",IF(TODAY()-R48&gt;14,"Обновить","Актуально"))</f>
        <v/>
      </c>
      <c r="T48" s="8"/>
    </row>
    <row r="49" customFormat="false" ht="15" hidden="false" customHeight="true" outlineLevel="0" collapsed="false">
      <c r="A49" s="11" t="str">
        <f aca="false">IF(B49="","",ROW()-2)</f>
        <v/>
      </c>
      <c r="B49" s="7"/>
      <c r="C49" s="8"/>
      <c r="D49" s="7"/>
      <c r="E49" s="7"/>
      <c r="F49" s="7"/>
      <c r="G49" s="12"/>
      <c r="H49" s="12"/>
      <c r="I49" s="8"/>
      <c r="J49" s="12"/>
      <c r="K49" s="7"/>
      <c r="L49" s="13"/>
      <c r="M49" s="13"/>
      <c r="N49" s="7"/>
      <c r="O49" s="7"/>
      <c r="P49" s="8"/>
      <c r="Q49" s="8"/>
      <c r="R49" s="14"/>
      <c r="S49" s="11" t="str">
        <f aca="true">IF(R49="","",IF(TODAY()-R49&gt;14,"Обновить","Актуально"))</f>
        <v/>
      </c>
      <c r="T49" s="8"/>
    </row>
    <row r="50" customFormat="false" ht="15" hidden="false" customHeight="true" outlineLevel="0" collapsed="false">
      <c r="A50" s="11" t="str">
        <f aca="false">IF(B50="","",ROW()-2)</f>
        <v/>
      </c>
      <c r="B50" s="7"/>
      <c r="C50" s="8"/>
      <c r="D50" s="7"/>
      <c r="E50" s="7"/>
      <c r="F50" s="7"/>
      <c r="G50" s="12"/>
      <c r="H50" s="12"/>
      <c r="I50" s="8"/>
      <c r="J50" s="12"/>
      <c r="K50" s="7"/>
      <c r="L50" s="13"/>
      <c r="M50" s="13"/>
      <c r="N50" s="7"/>
      <c r="O50" s="7"/>
      <c r="P50" s="8"/>
      <c r="Q50" s="8"/>
      <c r="R50" s="14"/>
      <c r="S50" s="11" t="str">
        <f aca="true">IF(R50="","",IF(TODAY()-R50&gt;14,"Обновить","Актуально"))</f>
        <v/>
      </c>
      <c r="T50" s="8"/>
    </row>
    <row r="51" customFormat="false" ht="15" hidden="false" customHeight="true" outlineLevel="0" collapsed="false">
      <c r="A51" s="11" t="str">
        <f aca="false">IF(B51="","",ROW()-2)</f>
        <v/>
      </c>
      <c r="B51" s="7"/>
      <c r="C51" s="8"/>
      <c r="D51" s="7"/>
      <c r="E51" s="7"/>
      <c r="F51" s="7"/>
      <c r="G51" s="12"/>
      <c r="H51" s="12"/>
      <c r="I51" s="8"/>
      <c r="J51" s="12"/>
      <c r="K51" s="7"/>
      <c r="L51" s="13"/>
      <c r="M51" s="13"/>
      <c r="N51" s="7"/>
      <c r="O51" s="7"/>
      <c r="P51" s="8"/>
      <c r="Q51" s="8"/>
      <c r="R51" s="14"/>
      <c r="S51" s="11" t="str">
        <f aca="true">IF(R51="","",IF(TODAY()-R51&gt;14,"Обновить","Актуально"))</f>
        <v/>
      </c>
      <c r="T51" s="8"/>
    </row>
    <row r="52" customFormat="false" ht="15" hidden="false" customHeight="true" outlineLevel="0" collapsed="false">
      <c r="A52" s="11" t="str">
        <f aca="false">IF(B52="","",ROW()-2)</f>
        <v/>
      </c>
      <c r="B52" s="7"/>
      <c r="C52" s="8"/>
      <c r="D52" s="7"/>
      <c r="E52" s="7"/>
      <c r="F52" s="7"/>
      <c r="G52" s="12"/>
      <c r="H52" s="12"/>
      <c r="I52" s="8"/>
      <c r="J52" s="12"/>
      <c r="K52" s="7"/>
      <c r="L52" s="13"/>
      <c r="M52" s="13"/>
      <c r="N52" s="7"/>
      <c r="O52" s="7"/>
      <c r="P52" s="8"/>
      <c r="Q52" s="8"/>
      <c r="R52" s="14"/>
      <c r="S52" s="11" t="str">
        <f aca="true">IF(R52="","",IF(TODAY()-R52&gt;14,"Обновить","Актуально"))</f>
        <v/>
      </c>
      <c r="T52" s="8"/>
    </row>
    <row r="53" customFormat="false" ht="15" hidden="false" customHeight="true" outlineLevel="0" collapsed="false">
      <c r="A53" s="11" t="str">
        <f aca="false">IF(B53="","",ROW()-2)</f>
        <v/>
      </c>
      <c r="B53" s="7"/>
      <c r="C53" s="8"/>
      <c r="D53" s="7"/>
      <c r="E53" s="7"/>
      <c r="F53" s="7"/>
      <c r="G53" s="12"/>
      <c r="H53" s="12"/>
      <c r="I53" s="8"/>
      <c r="J53" s="12"/>
      <c r="K53" s="7"/>
      <c r="L53" s="13"/>
      <c r="M53" s="13"/>
      <c r="N53" s="7"/>
      <c r="O53" s="7"/>
      <c r="P53" s="8"/>
      <c r="Q53" s="8"/>
      <c r="R53" s="14"/>
      <c r="S53" s="11" t="str">
        <f aca="true">IF(R53="","",IF(TODAY()-R53&gt;14,"Обновить","Актуально"))</f>
        <v/>
      </c>
      <c r="T53" s="8"/>
    </row>
    <row r="54" customFormat="false" ht="15" hidden="false" customHeight="true" outlineLevel="0" collapsed="false">
      <c r="A54" s="11" t="str">
        <f aca="false">IF(B54="","",ROW()-2)</f>
        <v/>
      </c>
      <c r="B54" s="7"/>
      <c r="C54" s="8"/>
      <c r="D54" s="7"/>
      <c r="E54" s="7"/>
      <c r="F54" s="7"/>
      <c r="G54" s="12"/>
      <c r="H54" s="12"/>
      <c r="I54" s="8"/>
      <c r="J54" s="12"/>
      <c r="K54" s="7"/>
      <c r="L54" s="13"/>
      <c r="M54" s="13"/>
      <c r="N54" s="7"/>
      <c r="O54" s="7"/>
      <c r="P54" s="8"/>
      <c r="Q54" s="8"/>
      <c r="R54" s="14"/>
      <c r="S54" s="11" t="str">
        <f aca="true">IF(R54="","",IF(TODAY()-R54&gt;14,"Обновить","Актуально"))</f>
        <v/>
      </c>
      <c r="T54" s="8"/>
    </row>
    <row r="55" customFormat="false" ht="15" hidden="false" customHeight="true" outlineLevel="0" collapsed="false">
      <c r="A55" s="11" t="str">
        <f aca="false">IF(B55="","",ROW()-2)</f>
        <v/>
      </c>
      <c r="B55" s="7"/>
      <c r="C55" s="8"/>
      <c r="D55" s="7"/>
      <c r="E55" s="7"/>
      <c r="F55" s="7"/>
      <c r="G55" s="12"/>
      <c r="H55" s="12"/>
      <c r="I55" s="8"/>
      <c r="J55" s="12"/>
      <c r="K55" s="7"/>
      <c r="L55" s="13"/>
      <c r="M55" s="13"/>
      <c r="N55" s="7"/>
      <c r="O55" s="7"/>
      <c r="P55" s="8"/>
      <c r="Q55" s="8"/>
      <c r="R55" s="14"/>
      <c r="S55" s="11" t="str">
        <f aca="true">IF(R55="","",IF(TODAY()-R55&gt;14,"Обновить","Актуально"))</f>
        <v/>
      </c>
      <c r="T55" s="8"/>
    </row>
    <row r="56" customFormat="false" ht="15" hidden="false" customHeight="true" outlineLevel="0" collapsed="false">
      <c r="A56" s="11" t="str">
        <f aca="false">IF(B56="","",ROW()-2)</f>
        <v/>
      </c>
      <c r="B56" s="7"/>
      <c r="C56" s="8"/>
      <c r="D56" s="7"/>
      <c r="E56" s="7"/>
      <c r="F56" s="7"/>
      <c r="G56" s="12"/>
      <c r="H56" s="12"/>
      <c r="I56" s="8"/>
      <c r="J56" s="12"/>
      <c r="K56" s="7"/>
      <c r="L56" s="13"/>
      <c r="M56" s="13"/>
      <c r="N56" s="7"/>
      <c r="O56" s="7"/>
      <c r="P56" s="8"/>
      <c r="Q56" s="8"/>
      <c r="R56" s="14"/>
      <c r="S56" s="11" t="str">
        <f aca="true">IF(R56="","",IF(TODAY()-R56&gt;14,"Обновить","Актуально"))</f>
        <v/>
      </c>
      <c r="T56" s="8"/>
    </row>
    <row r="57" customFormat="false" ht="15" hidden="false" customHeight="true" outlineLevel="0" collapsed="false">
      <c r="A57" s="11" t="str">
        <f aca="false">IF(B57="","",ROW()-2)</f>
        <v/>
      </c>
      <c r="B57" s="7"/>
      <c r="C57" s="8"/>
      <c r="D57" s="7"/>
      <c r="E57" s="7"/>
      <c r="F57" s="7"/>
      <c r="G57" s="12"/>
      <c r="H57" s="12"/>
      <c r="I57" s="8"/>
      <c r="J57" s="12"/>
      <c r="K57" s="7"/>
      <c r="L57" s="13"/>
      <c r="M57" s="13"/>
      <c r="N57" s="7"/>
      <c r="O57" s="7"/>
      <c r="P57" s="8"/>
      <c r="Q57" s="8"/>
      <c r="R57" s="14"/>
      <c r="S57" s="11" t="str">
        <f aca="true">IF(R57="","",IF(TODAY()-R57&gt;14,"Обновить","Актуально"))</f>
        <v/>
      </c>
      <c r="T57" s="8"/>
    </row>
    <row r="58" customFormat="false" ht="15" hidden="false" customHeight="true" outlineLevel="0" collapsed="false">
      <c r="A58" s="11" t="str">
        <f aca="false">IF(B58="","",ROW()-2)</f>
        <v/>
      </c>
      <c r="B58" s="7"/>
      <c r="C58" s="8"/>
      <c r="D58" s="7"/>
      <c r="E58" s="7"/>
      <c r="F58" s="7"/>
      <c r="G58" s="12"/>
      <c r="H58" s="12"/>
      <c r="I58" s="8"/>
      <c r="J58" s="12"/>
      <c r="K58" s="7"/>
      <c r="L58" s="13"/>
      <c r="M58" s="13"/>
      <c r="N58" s="7"/>
      <c r="O58" s="7"/>
      <c r="P58" s="8"/>
      <c r="Q58" s="8"/>
      <c r="R58" s="14"/>
      <c r="S58" s="11" t="str">
        <f aca="true">IF(R58="","",IF(TODAY()-R58&gt;14,"Обновить","Актуально"))</f>
        <v/>
      </c>
      <c r="T58" s="8"/>
    </row>
    <row r="59" customFormat="false" ht="15" hidden="false" customHeight="true" outlineLevel="0" collapsed="false">
      <c r="A59" s="11" t="str">
        <f aca="false">IF(B59="","",ROW()-2)</f>
        <v/>
      </c>
      <c r="B59" s="7"/>
      <c r="C59" s="8"/>
      <c r="D59" s="7"/>
      <c r="E59" s="7"/>
      <c r="F59" s="7"/>
      <c r="G59" s="12"/>
      <c r="H59" s="12"/>
      <c r="I59" s="8"/>
      <c r="J59" s="12"/>
      <c r="K59" s="7"/>
      <c r="L59" s="13"/>
      <c r="M59" s="13"/>
      <c r="N59" s="7"/>
      <c r="O59" s="7"/>
      <c r="P59" s="8"/>
      <c r="Q59" s="8"/>
      <c r="R59" s="14"/>
      <c r="S59" s="11" t="str">
        <f aca="true">IF(R59="","",IF(TODAY()-R59&gt;14,"Обновить","Актуально"))</f>
        <v/>
      </c>
      <c r="T59" s="8"/>
    </row>
    <row r="60" customFormat="false" ht="15" hidden="false" customHeight="true" outlineLevel="0" collapsed="false">
      <c r="A60" s="11" t="str">
        <f aca="false">IF(B60="","",ROW()-2)</f>
        <v/>
      </c>
      <c r="B60" s="7"/>
      <c r="C60" s="8"/>
      <c r="D60" s="7"/>
      <c r="E60" s="7"/>
      <c r="F60" s="7"/>
      <c r="G60" s="12"/>
      <c r="H60" s="12"/>
      <c r="I60" s="8"/>
      <c r="J60" s="12"/>
      <c r="K60" s="7"/>
      <c r="L60" s="13"/>
      <c r="M60" s="13"/>
      <c r="N60" s="7"/>
      <c r="O60" s="7"/>
      <c r="P60" s="8"/>
      <c r="Q60" s="8"/>
      <c r="R60" s="14"/>
      <c r="S60" s="11" t="str">
        <f aca="true">IF(R60="","",IF(TODAY()-R60&gt;14,"Обновить","Актуально"))</f>
        <v/>
      </c>
      <c r="T60" s="8"/>
    </row>
    <row r="61" customFormat="false" ht="15" hidden="false" customHeight="true" outlineLevel="0" collapsed="false">
      <c r="A61" s="11" t="str">
        <f aca="false">IF(B61="","",ROW()-2)</f>
        <v/>
      </c>
      <c r="B61" s="7"/>
      <c r="C61" s="8"/>
      <c r="D61" s="7"/>
      <c r="E61" s="7"/>
      <c r="F61" s="7"/>
      <c r="G61" s="12"/>
      <c r="H61" s="12"/>
      <c r="I61" s="8"/>
      <c r="J61" s="12"/>
      <c r="K61" s="7"/>
      <c r="L61" s="13"/>
      <c r="M61" s="13"/>
      <c r="N61" s="7"/>
      <c r="O61" s="7"/>
      <c r="P61" s="8"/>
      <c r="Q61" s="8"/>
      <c r="R61" s="14"/>
      <c r="S61" s="11" t="str">
        <f aca="true">IF(R61="","",IF(TODAY()-R61&gt;14,"Обновить","Актуально"))</f>
        <v/>
      </c>
      <c r="T61" s="8"/>
    </row>
    <row r="62" customFormat="false" ht="15" hidden="false" customHeight="true" outlineLevel="0" collapsed="false">
      <c r="A62" s="11" t="str">
        <f aca="false">IF(B62="","",ROW()-2)</f>
        <v/>
      </c>
      <c r="B62" s="7"/>
      <c r="C62" s="8"/>
      <c r="D62" s="7"/>
      <c r="E62" s="7"/>
      <c r="F62" s="7"/>
      <c r="G62" s="12"/>
      <c r="H62" s="12"/>
      <c r="I62" s="8"/>
      <c r="J62" s="12"/>
      <c r="K62" s="7"/>
      <c r="L62" s="13"/>
      <c r="M62" s="13"/>
      <c r="N62" s="7"/>
      <c r="O62" s="7"/>
      <c r="P62" s="8"/>
      <c r="Q62" s="8"/>
      <c r="R62" s="14"/>
      <c r="S62" s="11" t="str">
        <f aca="true">IF(R62="","",IF(TODAY()-R62&gt;14,"Обновить","Актуально"))</f>
        <v/>
      </c>
      <c r="T62" s="8"/>
    </row>
    <row r="63" customFormat="false" ht="15" hidden="false" customHeight="true" outlineLevel="0" collapsed="false">
      <c r="A63" s="11" t="str">
        <f aca="false">IF(B63="","",ROW()-2)</f>
        <v/>
      </c>
      <c r="B63" s="7"/>
      <c r="C63" s="8"/>
      <c r="D63" s="7"/>
      <c r="E63" s="7"/>
      <c r="F63" s="7"/>
      <c r="G63" s="12"/>
      <c r="H63" s="12"/>
      <c r="I63" s="8"/>
      <c r="J63" s="12"/>
      <c r="K63" s="7"/>
      <c r="L63" s="13"/>
      <c r="M63" s="13"/>
      <c r="N63" s="7"/>
      <c r="O63" s="7"/>
      <c r="P63" s="8"/>
      <c r="Q63" s="8"/>
      <c r="R63" s="14"/>
      <c r="S63" s="11" t="str">
        <f aca="true">IF(R63="","",IF(TODAY()-R63&gt;14,"Обновить","Актуально"))</f>
        <v/>
      </c>
      <c r="T63" s="8"/>
    </row>
    <row r="64" customFormat="false" ht="15" hidden="false" customHeight="true" outlineLevel="0" collapsed="false">
      <c r="A64" s="11" t="str">
        <f aca="false">IF(B64="","",ROW()-2)</f>
        <v/>
      </c>
      <c r="B64" s="7"/>
      <c r="C64" s="8"/>
      <c r="D64" s="7"/>
      <c r="E64" s="7"/>
      <c r="F64" s="7"/>
      <c r="G64" s="12"/>
      <c r="H64" s="12"/>
      <c r="I64" s="8"/>
      <c r="J64" s="12"/>
      <c r="K64" s="7"/>
      <c r="L64" s="13"/>
      <c r="M64" s="13"/>
      <c r="N64" s="7"/>
      <c r="O64" s="7"/>
      <c r="P64" s="8"/>
      <c r="Q64" s="8"/>
      <c r="R64" s="14"/>
      <c r="S64" s="11" t="str">
        <f aca="true">IF(R64="","",IF(TODAY()-R64&gt;14,"Обновить","Актуально"))</f>
        <v/>
      </c>
      <c r="T64" s="8"/>
    </row>
    <row r="65" customFormat="false" ht="15" hidden="false" customHeight="true" outlineLevel="0" collapsed="false">
      <c r="A65" s="11" t="str">
        <f aca="false">IF(B65="","",ROW()-2)</f>
        <v/>
      </c>
      <c r="B65" s="7"/>
      <c r="C65" s="8"/>
      <c r="D65" s="7"/>
      <c r="E65" s="7"/>
      <c r="F65" s="7"/>
      <c r="G65" s="12"/>
      <c r="H65" s="12"/>
      <c r="I65" s="8"/>
      <c r="J65" s="12"/>
      <c r="K65" s="7"/>
      <c r="L65" s="13"/>
      <c r="M65" s="13"/>
      <c r="N65" s="7"/>
      <c r="O65" s="7"/>
      <c r="P65" s="8"/>
      <c r="Q65" s="8"/>
      <c r="R65" s="14"/>
      <c r="S65" s="11" t="str">
        <f aca="true">IF(R65="","",IF(TODAY()-R65&gt;14,"Обновить","Актуально"))</f>
        <v/>
      </c>
      <c r="T65" s="8"/>
    </row>
    <row r="66" customFormat="false" ht="15" hidden="false" customHeight="true" outlineLevel="0" collapsed="false">
      <c r="A66" s="11" t="str">
        <f aca="false">IF(B66="","",ROW()-2)</f>
        <v/>
      </c>
      <c r="B66" s="7"/>
      <c r="C66" s="8"/>
      <c r="D66" s="7"/>
      <c r="E66" s="7"/>
      <c r="F66" s="7"/>
      <c r="G66" s="12"/>
      <c r="H66" s="12"/>
      <c r="I66" s="8"/>
      <c r="J66" s="12"/>
      <c r="K66" s="7"/>
      <c r="L66" s="13"/>
      <c r="M66" s="13"/>
      <c r="N66" s="7"/>
      <c r="O66" s="7"/>
      <c r="P66" s="8"/>
      <c r="Q66" s="8"/>
      <c r="R66" s="14"/>
      <c r="S66" s="11" t="str">
        <f aca="true">IF(R66="","",IF(TODAY()-R66&gt;14,"Обновить","Актуально"))</f>
        <v/>
      </c>
      <c r="T66" s="8"/>
    </row>
    <row r="67" customFormat="false" ht="15" hidden="false" customHeight="true" outlineLevel="0" collapsed="false">
      <c r="A67" s="11" t="str">
        <f aca="false">IF(B67="","",ROW()-2)</f>
        <v/>
      </c>
      <c r="B67" s="7"/>
      <c r="C67" s="8"/>
      <c r="D67" s="7"/>
      <c r="E67" s="7"/>
      <c r="F67" s="7"/>
      <c r="G67" s="12"/>
      <c r="H67" s="12"/>
      <c r="I67" s="8"/>
      <c r="J67" s="12"/>
      <c r="K67" s="7"/>
      <c r="L67" s="13"/>
      <c r="M67" s="13"/>
      <c r="N67" s="7"/>
      <c r="O67" s="7"/>
      <c r="P67" s="8"/>
      <c r="Q67" s="8"/>
      <c r="R67" s="14"/>
      <c r="S67" s="11" t="str">
        <f aca="true">IF(R67="","",IF(TODAY()-R67&gt;14,"Обновить","Актуально"))</f>
        <v/>
      </c>
      <c r="T67" s="8"/>
    </row>
    <row r="68" customFormat="false" ht="15" hidden="false" customHeight="true" outlineLevel="0" collapsed="false">
      <c r="A68" s="11" t="str">
        <f aca="false">IF(B68="","",ROW()-2)</f>
        <v/>
      </c>
      <c r="B68" s="7"/>
      <c r="C68" s="8"/>
      <c r="D68" s="7"/>
      <c r="E68" s="7"/>
      <c r="F68" s="7"/>
      <c r="G68" s="12"/>
      <c r="H68" s="12"/>
      <c r="I68" s="8"/>
      <c r="J68" s="12"/>
      <c r="K68" s="7"/>
      <c r="L68" s="13"/>
      <c r="M68" s="13"/>
      <c r="N68" s="7"/>
      <c r="O68" s="7"/>
      <c r="P68" s="8"/>
      <c r="Q68" s="8"/>
      <c r="R68" s="14"/>
      <c r="S68" s="11" t="str">
        <f aca="true">IF(R68="","",IF(TODAY()-R68&gt;14,"Обновить","Актуально"))</f>
        <v/>
      </c>
      <c r="T68" s="8"/>
    </row>
    <row r="69" customFormat="false" ht="15" hidden="false" customHeight="true" outlineLevel="0" collapsed="false">
      <c r="A69" s="11" t="str">
        <f aca="false">IF(B69="","",ROW()-2)</f>
        <v/>
      </c>
      <c r="B69" s="7"/>
      <c r="C69" s="8"/>
      <c r="D69" s="7"/>
      <c r="E69" s="7"/>
      <c r="F69" s="7"/>
      <c r="G69" s="12"/>
      <c r="H69" s="12"/>
      <c r="I69" s="8"/>
      <c r="J69" s="12"/>
      <c r="K69" s="7"/>
      <c r="L69" s="13"/>
      <c r="M69" s="13"/>
      <c r="N69" s="7"/>
      <c r="O69" s="7"/>
      <c r="P69" s="8"/>
      <c r="Q69" s="8"/>
      <c r="R69" s="14"/>
      <c r="S69" s="11" t="str">
        <f aca="true">IF(R69="","",IF(TODAY()-R69&gt;14,"Обновить","Актуально"))</f>
        <v/>
      </c>
      <c r="T69" s="8"/>
    </row>
    <row r="70" customFormat="false" ht="15" hidden="false" customHeight="true" outlineLevel="0" collapsed="false">
      <c r="A70" s="11" t="str">
        <f aca="false">IF(B70="","",ROW()-2)</f>
        <v/>
      </c>
      <c r="B70" s="7"/>
      <c r="C70" s="8"/>
      <c r="D70" s="7"/>
      <c r="E70" s="7"/>
      <c r="F70" s="7"/>
      <c r="G70" s="12"/>
      <c r="H70" s="12"/>
      <c r="I70" s="8"/>
      <c r="J70" s="12"/>
      <c r="K70" s="7"/>
      <c r="L70" s="13"/>
      <c r="M70" s="13"/>
      <c r="N70" s="7"/>
      <c r="O70" s="7"/>
      <c r="P70" s="8"/>
      <c r="Q70" s="8"/>
      <c r="R70" s="14"/>
      <c r="S70" s="11" t="str">
        <f aca="true">IF(R70="","",IF(TODAY()-R70&gt;14,"Обновить","Актуально"))</f>
        <v/>
      </c>
      <c r="T70" s="8"/>
    </row>
    <row r="71" customFormat="false" ht="15" hidden="false" customHeight="true" outlineLevel="0" collapsed="false">
      <c r="A71" s="11" t="str">
        <f aca="false">IF(B71="","",ROW()-2)</f>
        <v/>
      </c>
      <c r="B71" s="7"/>
      <c r="C71" s="8"/>
      <c r="D71" s="7"/>
      <c r="E71" s="7"/>
      <c r="F71" s="7"/>
      <c r="G71" s="12"/>
      <c r="H71" s="12"/>
      <c r="I71" s="8"/>
      <c r="J71" s="12"/>
      <c r="K71" s="7"/>
      <c r="L71" s="13"/>
      <c r="M71" s="13"/>
      <c r="N71" s="7"/>
      <c r="O71" s="7"/>
      <c r="P71" s="8"/>
      <c r="Q71" s="8"/>
      <c r="R71" s="14"/>
      <c r="S71" s="11" t="str">
        <f aca="true">IF(R71="","",IF(TODAY()-R71&gt;14,"Обновить","Актуально"))</f>
        <v/>
      </c>
      <c r="T71" s="8"/>
    </row>
    <row r="72" customFormat="false" ht="15" hidden="false" customHeight="true" outlineLevel="0" collapsed="false">
      <c r="A72" s="11" t="str">
        <f aca="false">IF(B72="","",ROW()-2)</f>
        <v/>
      </c>
      <c r="B72" s="7"/>
      <c r="C72" s="8"/>
      <c r="D72" s="7"/>
      <c r="E72" s="7"/>
      <c r="F72" s="7"/>
      <c r="G72" s="12"/>
      <c r="H72" s="12"/>
      <c r="I72" s="8"/>
      <c r="J72" s="12"/>
      <c r="K72" s="7"/>
      <c r="L72" s="13"/>
      <c r="M72" s="13"/>
      <c r="N72" s="7"/>
      <c r="O72" s="7"/>
      <c r="P72" s="8"/>
      <c r="Q72" s="8"/>
      <c r="R72" s="14"/>
      <c r="S72" s="11" t="str">
        <f aca="true">IF(R72="","",IF(TODAY()-R72&gt;14,"Обновить","Актуально"))</f>
        <v/>
      </c>
      <c r="T72" s="8"/>
    </row>
    <row r="73" customFormat="false" ht="15" hidden="false" customHeight="true" outlineLevel="0" collapsed="false">
      <c r="A73" s="11" t="str">
        <f aca="false">IF(B73="","",ROW()-2)</f>
        <v/>
      </c>
      <c r="B73" s="7"/>
      <c r="C73" s="8"/>
      <c r="D73" s="7"/>
      <c r="E73" s="7"/>
      <c r="F73" s="7"/>
      <c r="G73" s="12"/>
      <c r="H73" s="12"/>
      <c r="I73" s="8"/>
      <c r="J73" s="12"/>
      <c r="K73" s="7"/>
      <c r="L73" s="13"/>
      <c r="M73" s="13"/>
      <c r="N73" s="7"/>
      <c r="O73" s="7"/>
      <c r="P73" s="8"/>
      <c r="Q73" s="8"/>
      <c r="R73" s="14"/>
      <c r="S73" s="11" t="str">
        <f aca="true">IF(R73="","",IF(TODAY()-R73&gt;14,"Обновить","Актуально"))</f>
        <v/>
      </c>
      <c r="T73" s="8"/>
    </row>
    <row r="74" customFormat="false" ht="15" hidden="false" customHeight="true" outlineLevel="0" collapsed="false">
      <c r="A74" s="11" t="str">
        <f aca="false">IF(B74="","",ROW()-2)</f>
        <v/>
      </c>
      <c r="B74" s="7"/>
      <c r="C74" s="8"/>
      <c r="D74" s="7"/>
      <c r="E74" s="7"/>
      <c r="F74" s="7"/>
      <c r="G74" s="12"/>
      <c r="H74" s="12"/>
      <c r="I74" s="8"/>
      <c r="J74" s="12"/>
      <c r="K74" s="7"/>
      <c r="L74" s="13"/>
      <c r="M74" s="13"/>
      <c r="N74" s="7"/>
      <c r="O74" s="7"/>
      <c r="P74" s="8"/>
      <c r="Q74" s="8"/>
      <c r="R74" s="14"/>
      <c r="S74" s="11" t="str">
        <f aca="true">IF(R74="","",IF(TODAY()-R74&gt;14,"Обновить","Актуально"))</f>
        <v/>
      </c>
      <c r="T74" s="8"/>
    </row>
    <row r="75" customFormat="false" ht="15" hidden="false" customHeight="true" outlineLevel="0" collapsed="false">
      <c r="A75" s="11" t="str">
        <f aca="false">IF(B75="","",ROW()-2)</f>
        <v/>
      </c>
      <c r="B75" s="7"/>
      <c r="C75" s="8"/>
      <c r="D75" s="7"/>
      <c r="E75" s="7"/>
      <c r="F75" s="7"/>
      <c r="G75" s="12"/>
      <c r="H75" s="12"/>
      <c r="I75" s="8"/>
      <c r="J75" s="12"/>
      <c r="K75" s="7"/>
      <c r="L75" s="13"/>
      <c r="M75" s="13"/>
      <c r="N75" s="7"/>
      <c r="O75" s="7"/>
      <c r="P75" s="8"/>
      <c r="Q75" s="8"/>
      <c r="R75" s="14"/>
      <c r="S75" s="11" t="str">
        <f aca="true">IF(R75="","",IF(TODAY()-R75&gt;14,"Обновить","Актуально"))</f>
        <v/>
      </c>
      <c r="T75" s="8"/>
    </row>
    <row r="76" customFormat="false" ht="15" hidden="false" customHeight="true" outlineLevel="0" collapsed="false">
      <c r="A76" s="11" t="str">
        <f aca="false">IF(B76="","",ROW()-2)</f>
        <v/>
      </c>
      <c r="B76" s="7"/>
      <c r="C76" s="8"/>
      <c r="D76" s="7"/>
      <c r="E76" s="7"/>
      <c r="F76" s="7"/>
      <c r="G76" s="12"/>
      <c r="H76" s="12"/>
      <c r="I76" s="8"/>
      <c r="J76" s="12"/>
      <c r="K76" s="7"/>
      <c r="L76" s="13"/>
      <c r="M76" s="13"/>
      <c r="N76" s="7"/>
      <c r="O76" s="7"/>
      <c r="P76" s="8"/>
      <c r="Q76" s="8"/>
      <c r="R76" s="14"/>
      <c r="S76" s="11" t="str">
        <f aca="true">IF(R76="","",IF(TODAY()-R76&gt;14,"Обновить","Актуально"))</f>
        <v/>
      </c>
      <c r="T76" s="8"/>
    </row>
    <row r="77" customFormat="false" ht="15" hidden="false" customHeight="true" outlineLevel="0" collapsed="false">
      <c r="A77" s="11" t="str">
        <f aca="false">IF(B77="","",ROW()-2)</f>
        <v/>
      </c>
      <c r="B77" s="7"/>
      <c r="C77" s="8"/>
      <c r="D77" s="7"/>
      <c r="E77" s="7"/>
      <c r="F77" s="7"/>
      <c r="G77" s="12"/>
      <c r="H77" s="12"/>
      <c r="I77" s="8"/>
      <c r="J77" s="12"/>
      <c r="K77" s="7"/>
      <c r="L77" s="13"/>
      <c r="M77" s="13"/>
      <c r="N77" s="7"/>
      <c r="O77" s="7"/>
      <c r="P77" s="8"/>
      <c r="Q77" s="8"/>
      <c r="R77" s="14"/>
      <c r="S77" s="11" t="str">
        <f aca="true">IF(R77="","",IF(TODAY()-R77&gt;14,"Обновить","Актуально"))</f>
        <v/>
      </c>
      <c r="T77" s="8"/>
    </row>
    <row r="78" customFormat="false" ht="15" hidden="false" customHeight="true" outlineLevel="0" collapsed="false">
      <c r="A78" s="11" t="str">
        <f aca="false">IF(B78="","",ROW()-2)</f>
        <v/>
      </c>
      <c r="B78" s="7"/>
      <c r="C78" s="8"/>
      <c r="D78" s="7"/>
      <c r="E78" s="7"/>
      <c r="F78" s="7"/>
      <c r="G78" s="12"/>
      <c r="H78" s="12"/>
      <c r="I78" s="8"/>
      <c r="J78" s="12"/>
      <c r="K78" s="7"/>
      <c r="L78" s="13"/>
      <c r="M78" s="13"/>
      <c r="N78" s="7"/>
      <c r="O78" s="7"/>
      <c r="P78" s="8"/>
      <c r="Q78" s="8"/>
      <c r="R78" s="14"/>
      <c r="S78" s="11" t="str">
        <f aca="true">IF(R78="","",IF(TODAY()-R78&gt;14,"Обновить","Актуально"))</f>
        <v/>
      </c>
      <c r="T78" s="8"/>
    </row>
    <row r="79" customFormat="false" ht="15" hidden="false" customHeight="true" outlineLevel="0" collapsed="false">
      <c r="A79" s="11" t="str">
        <f aca="false">IF(B79="","",ROW()-2)</f>
        <v/>
      </c>
      <c r="B79" s="7"/>
      <c r="C79" s="8"/>
      <c r="D79" s="7"/>
      <c r="E79" s="7"/>
      <c r="F79" s="7"/>
      <c r="G79" s="12"/>
      <c r="H79" s="12"/>
      <c r="I79" s="8"/>
      <c r="J79" s="12"/>
      <c r="K79" s="7"/>
      <c r="L79" s="13"/>
      <c r="M79" s="13"/>
      <c r="N79" s="7"/>
      <c r="O79" s="7"/>
      <c r="P79" s="8"/>
      <c r="Q79" s="8"/>
      <c r="R79" s="14"/>
      <c r="S79" s="11" t="str">
        <f aca="true">IF(R79="","",IF(TODAY()-R79&gt;14,"Обновить","Актуально"))</f>
        <v/>
      </c>
      <c r="T79" s="8"/>
    </row>
    <row r="80" customFormat="false" ht="15" hidden="false" customHeight="true" outlineLevel="0" collapsed="false">
      <c r="A80" s="11" t="str">
        <f aca="false">IF(B80="","",ROW()-2)</f>
        <v/>
      </c>
      <c r="B80" s="7"/>
      <c r="C80" s="8"/>
      <c r="D80" s="7"/>
      <c r="E80" s="7"/>
      <c r="F80" s="7"/>
      <c r="G80" s="12"/>
      <c r="H80" s="12"/>
      <c r="I80" s="8"/>
      <c r="J80" s="12"/>
      <c r="K80" s="7"/>
      <c r="L80" s="13"/>
      <c r="M80" s="13"/>
      <c r="N80" s="7"/>
      <c r="O80" s="7"/>
      <c r="P80" s="8"/>
      <c r="Q80" s="8"/>
      <c r="R80" s="14"/>
      <c r="S80" s="11" t="str">
        <f aca="true">IF(R80="","",IF(TODAY()-R80&gt;14,"Обновить","Актуально"))</f>
        <v/>
      </c>
      <c r="T80" s="8"/>
    </row>
    <row r="81" customFormat="false" ht="15" hidden="false" customHeight="true" outlineLevel="0" collapsed="false">
      <c r="A81" s="11" t="str">
        <f aca="false">IF(B81="","",ROW()-2)</f>
        <v/>
      </c>
      <c r="B81" s="7"/>
      <c r="C81" s="8"/>
      <c r="D81" s="7"/>
      <c r="E81" s="7"/>
      <c r="F81" s="7"/>
      <c r="G81" s="12"/>
      <c r="H81" s="12"/>
      <c r="I81" s="8"/>
      <c r="J81" s="12"/>
      <c r="K81" s="7"/>
      <c r="L81" s="13"/>
      <c r="M81" s="13"/>
      <c r="N81" s="7"/>
      <c r="O81" s="7"/>
      <c r="P81" s="8"/>
      <c r="Q81" s="8"/>
      <c r="R81" s="14"/>
      <c r="S81" s="11" t="str">
        <f aca="true">IF(R81="","",IF(TODAY()-R81&gt;14,"Обновить","Актуально"))</f>
        <v/>
      </c>
      <c r="T81" s="8"/>
    </row>
    <row r="82" customFormat="false" ht="15" hidden="false" customHeight="true" outlineLevel="0" collapsed="false">
      <c r="A82" s="11" t="str">
        <f aca="false">IF(B82="","",ROW()-2)</f>
        <v/>
      </c>
      <c r="B82" s="7"/>
      <c r="C82" s="8"/>
      <c r="D82" s="7"/>
      <c r="E82" s="7"/>
      <c r="F82" s="7"/>
      <c r="G82" s="12"/>
      <c r="H82" s="12"/>
      <c r="I82" s="8"/>
      <c r="J82" s="12"/>
      <c r="K82" s="7"/>
      <c r="L82" s="13"/>
      <c r="M82" s="13"/>
      <c r="N82" s="7"/>
      <c r="O82" s="7"/>
      <c r="P82" s="8"/>
      <c r="Q82" s="8"/>
      <c r="R82" s="14"/>
      <c r="S82" s="11" t="str">
        <f aca="true">IF(R82="","",IF(TODAY()-R82&gt;14,"Обновить","Актуально"))</f>
        <v/>
      </c>
      <c r="T82" s="8"/>
    </row>
    <row r="83" customFormat="false" ht="15" hidden="false" customHeight="true" outlineLevel="0" collapsed="false">
      <c r="A83" s="11" t="str">
        <f aca="false">IF(B83="","",ROW()-2)</f>
        <v/>
      </c>
      <c r="B83" s="7"/>
      <c r="C83" s="8"/>
      <c r="D83" s="7"/>
      <c r="E83" s="7"/>
      <c r="F83" s="7"/>
      <c r="G83" s="12"/>
      <c r="H83" s="12"/>
      <c r="I83" s="8"/>
      <c r="J83" s="12"/>
      <c r="K83" s="7"/>
      <c r="L83" s="13"/>
      <c r="M83" s="13"/>
      <c r="N83" s="7"/>
      <c r="O83" s="7"/>
      <c r="P83" s="8"/>
      <c r="Q83" s="8"/>
      <c r="R83" s="14"/>
      <c r="S83" s="11" t="str">
        <f aca="true">IF(R83="","",IF(TODAY()-R83&gt;14,"Обновить","Актуально"))</f>
        <v/>
      </c>
      <c r="T83" s="8"/>
    </row>
    <row r="84" customFormat="false" ht="15" hidden="false" customHeight="true" outlineLevel="0" collapsed="false">
      <c r="A84" s="11" t="str">
        <f aca="false">IF(B84="","",ROW()-2)</f>
        <v/>
      </c>
      <c r="B84" s="7"/>
      <c r="C84" s="8"/>
      <c r="D84" s="7"/>
      <c r="E84" s="7"/>
      <c r="F84" s="7"/>
      <c r="G84" s="12"/>
      <c r="H84" s="12"/>
      <c r="I84" s="8"/>
      <c r="J84" s="12"/>
      <c r="K84" s="7"/>
      <c r="L84" s="13"/>
      <c r="M84" s="13"/>
      <c r="N84" s="7"/>
      <c r="O84" s="7"/>
      <c r="P84" s="8"/>
      <c r="Q84" s="8"/>
      <c r="R84" s="14"/>
      <c r="S84" s="11" t="str">
        <f aca="true">IF(R84="","",IF(TODAY()-R84&gt;14,"Обновить","Актуально"))</f>
        <v/>
      </c>
      <c r="T84" s="8"/>
    </row>
    <row r="85" customFormat="false" ht="15" hidden="false" customHeight="true" outlineLevel="0" collapsed="false">
      <c r="A85" s="11" t="str">
        <f aca="false">IF(B85="","",ROW()-2)</f>
        <v/>
      </c>
      <c r="B85" s="7"/>
      <c r="C85" s="8"/>
      <c r="D85" s="7"/>
      <c r="E85" s="7"/>
      <c r="F85" s="7"/>
      <c r="G85" s="12"/>
      <c r="H85" s="12"/>
      <c r="I85" s="8"/>
      <c r="J85" s="12"/>
      <c r="K85" s="7"/>
      <c r="L85" s="13"/>
      <c r="M85" s="13"/>
      <c r="N85" s="7"/>
      <c r="O85" s="7"/>
      <c r="P85" s="8"/>
      <c r="Q85" s="8"/>
      <c r="R85" s="14"/>
      <c r="S85" s="11" t="str">
        <f aca="true">IF(R85="","",IF(TODAY()-R85&gt;14,"Обновить","Актуально"))</f>
        <v/>
      </c>
      <c r="T85" s="8"/>
    </row>
    <row r="86" customFormat="false" ht="15" hidden="false" customHeight="true" outlineLevel="0" collapsed="false">
      <c r="A86" s="11" t="str">
        <f aca="false">IF(B86="","",ROW()-2)</f>
        <v/>
      </c>
      <c r="B86" s="7"/>
      <c r="C86" s="8"/>
      <c r="D86" s="7"/>
      <c r="E86" s="7"/>
      <c r="F86" s="7"/>
      <c r="G86" s="12"/>
      <c r="H86" s="12"/>
      <c r="I86" s="8"/>
      <c r="J86" s="12"/>
      <c r="K86" s="7"/>
      <c r="L86" s="13"/>
      <c r="M86" s="13"/>
      <c r="N86" s="7"/>
      <c r="O86" s="7"/>
      <c r="P86" s="8"/>
      <c r="Q86" s="8"/>
      <c r="R86" s="14"/>
      <c r="S86" s="11" t="str">
        <f aca="true">IF(R86="","",IF(TODAY()-R86&gt;14,"Обновить","Актуально"))</f>
        <v/>
      </c>
      <c r="T86" s="8"/>
    </row>
    <row r="87" customFormat="false" ht="15" hidden="false" customHeight="true" outlineLevel="0" collapsed="false">
      <c r="A87" s="11" t="str">
        <f aca="false">IF(B87="","",ROW()-2)</f>
        <v/>
      </c>
      <c r="B87" s="7"/>
      <c r="C87" s="8"/>
      <c r="D87" s="7"/>
      <c r="E87" s="7"/>
      <c r="F87" s="7"/>
      <c r="G87" s="12"/>
      <c r="H87" s="12"/>
      <c r="I87" s="8"/>
      <c r="J87" s="12"/>
      <c r="K87" s="7"/>
      <c r="L87" s="13"/>
      <c r="M87" s="13"/>
      <c r="N87" s="7"/>
      <c r="O87" s="7"/>
      <c r="P87" s="8"/>
      <c r="Q87" s="8"/>
      <c r="R87" s="14"/>
      <c r="S87" s="11" t="str">
        <f aca="true">IF(R87="","",IF(TODAY()-R87&gt;14,"Обновить","Актуально"))</f>
        <v/>
      </c>
      <c r="T87" s="8"/>
    </row>
    <row r="88" customFormat="false" ht="15" hidden="false" customHeight="true" outlineLevel="0" collapsed="false">
      <c r="A88" s="11" t="str">
        <f aca="false">IF(B88="","",ROW()-2)</f>
        <v/>
      </c>
      <c r="B88" s="7"/>
      <c r="C88" s="8"/>
      <c r="D88" s="7"/>
      <c r="E88" s="7"/>
      <c r="F88" s="7"/>
      <c r="G88" s="12"/>
      <c r="H88" s="12"/>
      <c r="I88" s="8"/>
      <c r="J88" s="12"/>
      <c r="K88" s="7"/>
      <c r="L88" s="13"/>
      <c r="M88" s="13"/>
      <c r="N88" s="7"/>
      <c r="O88" s="7"/>
      <c r="P88" s="8"/>
      <c r="Q88" s="8"/>
      <c r="R88" s="14"/>
      <c r="S88" s="11" t="str">
        <f aca="true">IF(R88="","",IF(TODAY()-R88&gt;14,"Обновить","Актуально"))</f>
        <v/>
      </c>
      <c r="T88" s="8"/>
    </row>
    <row r="89" customFormat="false" ht="15" hidden="false" customHeight="true" outlineLevel="0" collapsed="false">
      <c r="A89" s="11" t="str">
        <f aca="false">IF(B89="","",ROW()-2)</f>
        <v/>
      </c>
      <c r="B89" s="7"/>
      <c r="C89" s="8"/>
      <c r="D89" s="7"/>
      <c r="E89" s="7"/>
      <c r="F89" s="7"/>
      <c r="G89" s="12"/>
      <c r="H89" s="12"/>
      <c r="I89" s="8"/>
      <c r="J89" s="12"/>
      <c r="K89" s="7"/>
      <c r="L89" s="13"/>
      <c r="M89" s="13"/>
      <c r="N89" s="7"/>
      <c r="O89" s="7"/>
      <c r="P89" s="8"/>
      <c r="Q89" s="8"/>
      <c r="R89" s="14"/>
      <c r="S89" s="11" t="str">
        <f aca="true">IF(R89="","",IF(TODAY()-R89&gt;14,"Обновить","Актуально"))</f>
        <v/>
      </c>
      <c r="T89" s="8"/>
    </row>
    <row r="90" customFormat="false" ht="15" hidden="false" customHeight="true" outlineLevel="0" collapsed="false">
      <c r="A90" s="11" t="str">
        <f aca="false">IF(B90="","",ROW()-2)</f>
        <v/>
      </c>
      <c r="B90" s="7"/>
      <c r="C90" s="8"/>
      <c r="D90" s="7"/>
      <c r="E90" s="7"/>
      <c r="F90" s="7"/>
      <c r="G90" s="12"/>
      <c r="H90" s="12"/>
      <c r="I90" s="8"/>
      <c r="J90" s="12"/>
      <c r="K90" s="7"/>
      <c r="L90" s="13"/>
      <c r="M90" s="13"/>
      <c r="N90" s="7"/>
      <c r="O90" s="7"/>
      <c r="P90" s="8"/>
      <c r="Q90" s="8"/>
      <c r="R90" s="14"/>
      <c r="S90" s="11" t="str">
        <f aca="true">IF(R90="","",IF(TODAY()-R90&gt;14,"Обновить","Актуально"))</f>
        <v/>
      </c>
      <c r="T90" s="8"/>
    </row>
    <row r="91" customFormat="false" ht="15" hidden="false" customHeight="true" outlineLevel="0" collapsed="false">
      <c r="A91" s="11" t="str">
        <f aca="false">IF(B91="","",ROW()-2)</f>
        <v/>
      </c>
      <c r="B91" s="7"/>
      <c r="C91" s="8"/>
      <c r="D91" s="7"/>
      <c r="E91" s="7"/>
      <c r="F91" s="7"/>
      <c r="G91" s="12"/>
      <c r="H91" s="12"/>
      <c r="I91" s="8"/>
      <c r="J91" s="12"/>
      <c r="K91" s="7"/>
      <c r="L91" s="13"/>
      <c r="M91" s="13"/>
      <c r="N91" s="7"/>
      <c r="O91" s="7"/>
      <c r="P91" s="8"/>
      <c r="Q91" s="8"/>
      <c r="R91" s="14"/>
      <c r="S91" s="11" t="str">
        <f aca="true">IF(R91="","",IF(TODAY()-R91&gt;14,"Обновить","Актуально"))</f>
        <v/>
      </c>
      <c r="T91" s="8"/>
    </row>
    <row r="92" customFormat="false" ht="15" hidden="false" customHeight="true" outlineLevel="0" collapsed="false">
      <c r="A92" s="11" t="str">
        <f aca="false">IF(B92="","",ROW()-2)</f>
        <v/>
      </c>
      <c r="B92" s="7"/>
      <c r="C92" s="8"/>
      <c r="D92" s="7"/>
      <c r="E92" s="7"/>
      <c r="F92" s="7"/>
      <c r="G92" s="12"/>
      <c r="H92" s="12"/>
      <c r="I92" s="8"/>
      <c r="J92" s="12"/>
      <c r="K92" s="7"/>
      <c r="L92" s="13"/>
      <c r="M92" s="13"/>
      <c r="N92" s="7"/>
      <c r="O92" s="7"/>
      <c r="P92" s="8"/>
      <c r="Q92" s="8"/>
      <c r="R92" s="14"/>
      <c r="S92" s="11" t="str">
        <f aca="true">IF(R92="","",IF(TODAY()-R92&gt;14,"Обновить","Актуально"))</f>
        <v/>
      </c>
      <c r="T92" s="8"/>
    </row>
    <row r="93" customFormat="false" ht="15" hidden="false" customHeight="true" outlineLevel="0" collapsed="false">
      <c r="A93" s="11" t="str">
        <f aca="false">IF(B93="","",ROW()-2)</f>
        <v/>
      </c>
      <c r="B93" s="7"/>
      <c r="C93" s="8"/>
      <c r="D93" s="7"/>
      <c r="E93" s="7"/>
      <c r="F93" s="7"/>
      <c r="G93" s="12"/>
      <c r="H93" s="12"/>
      <c r="I93" s="8"/>
      <c r="J93" s="12"/>
      <c r="K93" s="7"/>
      <c r="L93" s="13"/>
      <c r="M93" s="13"/>
      <c r="N93" s="7"/>
      <c r="O93" s="7"/>
      <c r="P93" s="8"/>
      <c r="Q93" s="8"/>
      <c r="R93" s="14"/>
      <c r="S93" s="11" t="str">
        <f aca="true">IF(R93="","",IF(TODAY()-R93&gt;14,"Обновить","Актуально"))</f>
        <v/>
      </c>
      <c r="T93" s="8"/>
    </row>
    <row r="94" customFormat="false" ht="15" hidden="false" customHeight="true" outlineLevel="0" collapsed="false">
      <c r="A94" s="11" t="str">
        <f aca="false">IF(B94="","",ROW()-2)</f>
        <v/>
      </c>
      <c r="B94" s="7"/>
      <c r="C94" s="8"/>
      <c r="D94" s="7"/>
      <c r="E94" s="7"/>
      <c r="F94" s="7"/>
      <c r="G94" s="12"/>
      <c r="H94" s="12"/>
      <c r="I94" s="8"/>
      <c r="J94" s="12"/>
      <c r="K94" s="7"/>
      <c r="L94" s="13"/>
      <c r="M94" s="13"/>
      <c r="N94" s="7"/>
      <c r="O94" s="7"/>
      <c r="P94" s="8"/>
      <c r="Q94" s="8"/>
      <c r="R94" s="14"/>
      <c r="S94" s="11" t="str">
        <f aca="true">IF(R94="","",IF(TODAY()-R94&gt;14,"Обновить","Актуально"))</f>
        <v/>
      </c>
      <c r="T94" s="8"/>
    </row>
    <row r="95" customFormat="false" ht="15" hidden="false" customHeight="true" outlineLevel="0" collapsed="false">
      <c r="A95" s="11" t="str">
        <f aca="false">IF(B95="","",ROW()-2)</f>
        <v/>
      </c>
      <c r="B95" s="7"/>
      <c r="C95" s="8"/>
      <c r="D95" s="7"/>
      <c r="E95" s="7"/>
      <c r="F95" s="7"/>
      <c r="G95" s="12"/>
      <c r="H95" s="12"/>
      <c r="I95" s="8"/>
      <c r="J95" s="12"/>
      <c r="K95" s="7"/>
      <c r="L95" s="13"/>
      <c r="M95" s="13"/>
      <c r="N95" s="7"/>
      <c r="O95" s="7"/>
      <c r="P95" s="8"/>
      <c r="Q95" s="8"/>
      <c r="R95" s="14"/>
      <c r="S95" s="11" t="str">
        <f aca="true">IF(R95="","",IF(TODAY()-R95&gt;14,"Обновить","Актуально"))</f>
        <v/>
      </c>
      <c r="T95" s="8"/>
    </row>
    <row r="96" customFormat="false" ht="15" hidden="false" customHeight="true" outlineLevel="0" collapsed="false">
      <c r="A96" s="11" t="str">
        <f aca="false">IF(B96="","",ROW()-2)</f>
        <v/>
      </c>
      <c r="B96" s="7"/>
      <c r="C96" s="8"/>
      <c r="D96" s="7"/>
      <c r="E96" s="7"/>
      <c r="F96" s="7"/>
      <c r="G96" s="12"/>
      <c r="H96" s="12"/>
      <c r="I96" s="8"/>
      <c r="J96" s="12"/>
      <c r="K96" s="7"/>
      <c r="L96" s="13"/>
      <c r="M96" s="13"/>
      <c r="N96" s="7"/>
      <c r="O96" s="7"/>
      <c r="P96" s="8"/>
      <c r="Q96" s="8"/>
      <c r="R96" s="14"/>
      <c r="S96" s="11" t="str">
        <f aca="true">IF(R96="","",IF(TODAY()-R96&gt;14,"Обновить","Актуально"))</f>
        <v/>
      </c>
      <c r="T96" s="8"/>
    </row>
    <row r="97" customFormat="false" ht="15" hidden="false" customHeight="true" outlineLevel="0" collapsed="false">
      <c r="A97" s="11" t="str">
        <f aca="false">IF(B97="","",ROW()-2)</f>
        <v/>
      </c>
      <c r="B97" s="7"/>
      <c r="C97" s="8"/>
      <c r="D97" s="7"/>
      <c r="E97" s="7"/>
      <c r="F97" s="7"/>
      <c r="G97" s="12"/>
      <c r="H97" s="12"/>
      <c r="I97" s="8"/>
      <c r="J97" s="12"/>
      <c r="K97" s="7"/>
      <c r="L97" s="13"/>
      <c r="M97" s="13"/>
      <c r="N97" s="7"/>
      <c r="O97" s="7"/>
      <c r="P97" s="8"/>
      <c r="Q97" s="8"/>
      <c r="R97" s="14"/>
      <c r="S97" s="11" t="str">
        <f aca="true">IF(R97="","",IF(TODAY()-R97&gt;14,"Обновить","Актуально"))</f>
        <v/>
      </c>
      <c r="T97" s="8"/>
    </row>
    <row r="98" customFormat="false" ht="15" hidden="false" customHeight="true" outlineLevel="0" collapsed="false">
      <c r="A98" s="11" t="str">
        <f aca="false">IF(B98="","",ROW()-2)</f>
        <v/>
      </c>
      <c r="B98" s="7"/>
      <c r="C98" s="8"/>
      <c r="D98" s="7"/>
      <c r="E98" s="7"/>
      <c r="F98" s="7"/>
      <c r="G98" s="12"/>
      <c r="H98" s="12"/>
      <c r="I98" s="8"/>
      <c r="J98" s="12"/>
      <c r="K98" s="7"/>
      <c r="L98" s="13"/>
      <c r="M98" s="13"/>
      <c r="N98" s="7"/>
      <c r="O98" s="7"/>
      <c r="P98" s="8"/>
      <c r="Q98" s="8"/>
      <c r="R98" s="14"/>
      <c r="S98" s="11" t="str">
        <f aca="true">IF(R98="","",IF(TODAY()-R98&gt;14,"Обновить","Актуально"))</f>
        <v/>
      </c>
      <c r="T98" s="8"/>
    </row>
    <row r="99" customFormat="false" ht="15" hidden="false" customHeight="true" outlineLevel="0" collapsed="false">
      <c r="A99" s="11" t="str">
        <f aca="false">IF(B99="","",ROW()-2)</f>
        <v/>
      </c>
      <c r="B99" s="7"/>
      <c r="C99" s="8"/>
      <c r="D99" s="7"/>
      <c r="E99" s="7"/>
      <c r="F99" s="7"/>
      <c r="G99" s="12"/>
      <c r="H99" s="12"/>
      <c r="I99" s="8"/>
      <c r="J99" s="12"/>
      <c r="K99" s="7"/>
      <c r="L99" s="13"/>
      <c r="M99" s="13"/>
      <c r="N99" s="7"/>
      <c r="O99" s="7"/>
      <c r="P99" s="8"/>
      <c r="Q99" s="8"/>
      <c r="R99" s="14"/>
      <c r="S99" s="11" t="str">
        <f aca="true">IF(R99="","",IF(TODAY()-R99&gt;14,"Обновить","Актуально"))</f>
        <v/>
      </c>
      <c r="T99" s="8"/>
    </row>
    <row r="100" customFormat="false" ht="15" hidden="false" customHeight="true" outlineLevel="0" collapsed="false">
      <c r="A100" s="11" t="str">
        <f aca="false">IF(B100="","",ROW()-2)</f>
        <v/>
      </c>
      <c r="B100" s="7"/>
      <c r="C100" s="8"/>
      <c r="D100" s="7"/>
      <c r="E100" s="7"/>
      <c r="F100" s="7"/>
      <c r="G100" s="12"/>
      <c r="H100" s="12"/>
      <c r="I100" s="8"/>
      <c r="J100" s="12"/>
      <c r="K100" s="7"/>
      <c r="L100" s="13"/>
      <c r="M100" s="13"/>
      <c r="N100" s="7"/>
      <c r="O100" s="7"/>
      <c r="P100" s="8"/>
      <c r="Q100" s="8"/>
      <c r="R100" s="14"/>
      <c r="S100" s="11" t="str">
        <f aca="true">IF(R100="","",IF(TODAY()-R100&gt;14,"Обновить","Актуально"))</f>
        <v/>
      </c>
      <c r="T100" s="8"/>
    </row>
    <row r="101" customFormat="false" ht="15" hidden="false" customHeight="true" outlineLevel="0" collapsed="false">
      <c r="A101" s="11" t="str">
        <f aca="false">IF(B101="","",ROW()-2)</f>
        <v/>
      </c>
      <c r="B101" s="7"/>
      <c r="C101" s="8"/>
      <c r="D101" s="7"/>
      <c r="E101" s="7"/>
      <c r="F101" s="7"/>
      <c r="G101" s="12"/>
      <c r="H101" s="12"/>
      <c r="I101" s="8"/>
      <c r="J101" s="12"/>
      <c r="K101" s="7"/>
      <c r="L101" s="13"/>
      <c r="M101" s="13"/>
      <c r="N101" s="7"/>
      <c r="O101" s="7"/>
      <c r="P101" s="8"/>
      <c r="Q101" s="8"/>
      <c r="R101" s="14"/>
      <c r="S101" s="11" t="str">
        <f aca="true">IF(R101="","",IF(TODAY()-R101&gt;14,"Обновить","Актуально"))</f>
        <v/>
      </c>
      <c r="T101" s="8"/>
    </row>
    <row r="102" customFormat="false" ht="15" hidden="false" customHeight="true" outlineLevel="0" collapsed="false">
      <c r="A102" s="11" t="str">
        <f aca="false">IF(B102="","",ROW()-2)</f>
        <v/>
      </c>
      <c r="B102" s="7"/>
      <c r="C102" s="8"/>
      <c r="D102" s="7"/>
      <c r="E102" s="7"/>
      <c r="F102" s="7"/>
      <c r="G102" s="12"/>
      <c r="H102" s="12"/>
      <c r="I102" s="8"/>
      <c r="J102" s="12"/>
      <c r="K102" s="7"/>
      <c r="L102" s="13"/>
      <c r="M102" s="13"/>
      <c r="N102" s="7"/>
      <c r="O102" s="7"/>
      <c r="P102" s="8"/>
      <c r="Q102" s="8"/>
      <c r="R102" s="14"/>
      <c r="S102" s="11" t="str">
        <f aca="true">IF(R102="","",IF(TODAY()-R102&gt;14,"Обновить","Актуально"))</f>
        <v/>
      </c>
      <c r="T102" s="8"/>
    </row>
    <row r="103" customFormat="false" ht="15" hidden="false" customHeight="true" outlineLevel="0" collapsed="false">
      <c r="A103" s="11" t="str">
        <f aca="false">IF(B103="","",ROW()-2)</f>
        <v/>
      </c>
      <c r="B103" s="7"/>
      <c r="C103" s="8"/>
      <c r="D103" s="7"/>
      <c r="E103" s="7"/>
      <c r="F103" s="7"/>
      <c r="G103" s="12"/>
      <c r="H103" s="12"/>
      <c r="I103" s="8"/>
      <c r="J103" s="12"/>
      <c r="K103" s="7"/>
      <c r="L103" s="13"/>
      <c r="M103" s="13"/>
      <c r="N103" s="7"/>
      <c r="O103" s="7"/>
      <c r="P103" s="8"/>
      <c r="Q103" s="8"/>
      <c r="R103" s="14"/>
      <c r="S103" s="11" t="str">
        <f aca="true">IF(R103="","",IF(TODAY()-R103&gt;14,"Обновить","Актуально"))</f>
        <v/>
      </c>
      <c r="T103" s="8"/>
    </row>
    <row r="104" customFormat="false" ht="15" hidden="false" customHeight="true" outlineLevel="0" collapsed="false">
      <c r="A104" s="11" t="str">
        <f aca="false">IF(B104="","",ROW()-2)</f>
        <v/>
      </c>
      <c r="B104" s="7"/>
      <c r="C104" s="8"/>
      <c r="D104" s="7"/>
      <c r="E104" s="7"/>
      <c r="F104" s="7"/>
      <c r="G104" s="12"/>
      <c r="H104" s="12"/>
      <c r="I104" s="8"/>
      <c r="J104" s="12"/>
      <c r="K104" s="7"/>
      <c r="L104" s="13"/>
      <c r="M104" s="13"/>
      <c r="N104" s="7"/>
      <c r="O104" s="7"/>
      <c r="P104" s="8"/>
      <c r="Q104" s="8"/>
      <c r="R104" s="14"/>
      <c r="S104" s="11" t="str">
        <f aca="true">IF(R104="","",IF(TODAY()-R104&gt;14,"Обновить","Актуально"))</f>
        <v/>
      </c>
      <c r="T104" s="8"/>
    </row>
    <row r="105" customFormat="false" ht="15" hidden="false" customHeight="true" outlineLevel="0" collapsed="false">
      <c r="A105" s="11" t="str">
        <f aca="false">IF(B105="","",ROW()-2)</f>
        <v/>
      </c>
      <c r="B105" s="7"/>
      <c r="C105" s="8"/>
      <c r="D105" s="7"/>
      <c r="E105" s="7"/>
      <c r="F105" s="7"/>
      <c r="G105" s="12"/>
      <c r="H105" s="12"/>
      <c r="I105" s="8"/>
      <c r="J105" s="12"/>
      <c r="K105" s="7"/>
      <c r="L105" s="13"/>
      <c r="M105" s="13"/>
      <c r="N105" s="7"/>
      <c r="O105" s="7"/>
      <c r="P105" s="8"/>
      <c r="Q105" s="8"/>
      <c r="R105" s="14"/>
      <c r="S105" s="11" t="str">
        <f aca="true">IF(R105="","",IF(TODAY()-R105&gt;14,"Обновить","Актуально"))</f>
        <v/>
      </c>
      <c r="T105" s="8"/>
    </row>
    <row r="106" customFormat="false" ht="15" hidden="false" customHeight="true" outlineLevel="0" collapsed="false">
      <c r="A106" s="11" t="str">
        <f aca="false">IF(B106="","",ROW()-2)</f>
        <v/>
      </c>
      <c r="B106" s="7"/>
      <c r="C106" s="8"/>
      <c r="D106" s="7"/>
      <c r="E106" s="7"/>
      <c r="F106" s="7"/>
      <c r="G106" s="12"/>
      <c r="H106" s="12"/>
      <c r="I106" s="8"/>
      <c r="J106" s="12"/>
      <c r="K106" s="7"/>
      <c r="L106" s="13"/>
      <c r="M106" s="13"/>
      <c r="N106" s="7"/>
      <c r="O106" s="7"/>
      <c r="P106" s="8"/>
      <c r="Q106" s="8"/>
      <c r="R106" s="14"/>
      <c r="S106" s="11" t="str">
        <f aca="true">IF(R106="","",IF(TODAY()-R106&gt;14,"Обновить","Актуально"))</f>
        <v/>
      </c>
      <c r="T106" s="8"/>
    </row>
    <row r="107" customFormat="false" ht="15" hidden="false" customHeight="true" outlineLevel="0" collapsed="false">
      <c r="A107" s="11" t="str">
        <f aca="false">IF(B107="","",ROW()-2)</f>
        <v/>
      </c>
      <c r="B107" s="7"/>
      <c r="C107" s="8"/>
      <c r="D107" s="7"/>
      <c r="E107" s="7"/>
      <c r="F107" s="7"/>
      <c r="G107" s="12"/>
      <c r="H107" s="12"/>
      <c r="I107" s="8"/>
      <c r="J107" s="12"/>
      <c r="K107" s="7"/>
      <c r="L107" s="13"/>
      <c r="M107" s="13"/>
      <c r="N107" s="7"/>
      <c r="O107" s="7"/>
      <c r="P107" s="8"/>
      <c r="Q107" s="8"/>
      <c r="R107" s="14"/>
      <c r="S107" s="11" t="str">
        <f aca="true">IF(R107="","",IF(TODAY()-R107&gt;14,"Обновить","Актуально"))</f>
        <v/>
      </c>
      <c r="T107" s="8"/>
    </row>
    <row r="108" customFormat="false" ht="15" hidden="false" customHeight="true" outlineLevel="0" collapsed="false">
      <c r="A108" s="11" t="str">
        <f aca="false">IF(B108="","",ROW()-2)</f>
        <v/>
      </c>
      <c r="B108" s="7"/>
      <c r="C108" s="8"/>
      <c r="D108" s="7"/>
      <c r="E108" s="7"/>
      <c r="F108" s="7"/>
      <c r="G108" s="12"/>
      <c r="H108" s="12"/>
      <c r="I108" s="8"/>
      <c r="J108" s="12"/>
      <c r="K108" s="7"/>
      <c r="L108" s="13"/>
      <c r="M108" s="13"/>
      <c r="N108" s="7"/>
      <c r="O108" s="7"/>
      <c r="P108" s="8"/>
      <c r="Q108" s="8"/>
      <c r="R108" s="14"/>
      <c r="S108" s="11" t="str">
        <f aca="true">IF(R108="","",IF(TODAY()-R108&gt;14,"Обновить","Актуально"))</f>
        <v/>
      </c>
      <c r="T108" s="8"/>
    </row>
    <row r="109" customFormat="false" ht="15" hidden="false" customHeight="true" outlineLevel="0" collapsed="false">
      <c r="A109" s="11" t="str">
        <f aca="false">IF(B109="","",ROW()-2)</f>
        <v/>
      </c>
      <c r="B109" s="7"/>
      <c r="C109" s="8"/>
      <c r="D109" s="7"/>
      <c r="E109" s="7"/>
      <c r="F109" s="7"/>
      <c r="G109" s="12"/>
      <c r="H109" s="12"/>
      <c r="I109" s="8"/>
      <c r="J109" s="12"/>
      <c r="K109" s="7"/>
      <c r="L109" s="13"/>
      <c r="M109" s="13"/>
      <c r="N109" s="7"/>
      <c r="O109" s="7"/>
      <c r="P109" s="8"/>
      <c r="Q109" s="8"/>
      <c r="R109" s="14"/>
      <c r="S109" s="11" t="str">
        <f aca="true">IF(R109="","",IF(TODAY()-R109&gt;14,"Обновить","Актуально"))</f>
        <v/>
      </c>
      <c r="T109" s="8"/>
    </row>
    <row r="110" customFormat="false" ht="15" hidden="false" customHeight="true" outlineLevel="0" collapsed="false">
      <c r="A110" s="11" t="str">
        <f aca="false">IF(B110="","",ROW()-2)</f>
        <v/>
      </c>
      <c r="B110" s="7"/>
      <c r="C110" s="8"/>
      <c r="D110" s="7"/>
      <c r="E110" s="7"/>
      <c r="F110" s="7"/>
      <c r="G110" s="12"/>
      <c r="H110" s="12"/>
      <c r="I110" s="8"/>
      <c r="J110" s="12"/>
      <c r="K110" s="7"/>
      <c r="L110" s="13"/>
      <c r="M110" s="13"/>
      <c r="N110" s="7"/>
      <c r="O110" s="7"/>
      <c r="P110" s="8"/>
      <c r="Q110" s="8"/>
      <c r="R110" s="14"/>
      <c r="S110" s="11" t="str">
        <f aca="true">IF(R110="","",IF(TODAY()-R110&gt;14,"Обновить","Актуально"))</f>
        <v/>
      </c>
      <c r="T110" s="8"/>
    </row>
    <row r="111" customFormat="false" ht="15" hidden="false" customHeight="true" outlineLevel="0" collapsed="false">
      <c r="A111" s="11" t="str">
        <f aca="false">IF(B111="","",ROW()-2)</f>
        <v/>
      </c>
      <c r="B111" s="7"/>
      <c r="C111" s="8"/>
      <c r="D111" s="7"/>
      <c r="E111" s="7"/>
      <c r="F111" s="7"/>
      <c r="G111" s="12"/>
      <c r="H111" s="12"/>
      <c r="I111" s="8"/>
      <c r="J111" s="12"/>
      <c r="K111" s="7"/>
      <c r="L111" s="13"/>
      <c r="M111" s="13"/>
      <c r="N111" s="7"/>
      <c r="O111" s="7"/>
      <c r="P111" s="8"/>
      <c r="Q111" s="8"/>
      <c r="R111" s="14"/>
      <c r="S111" s="11" t="str">
        <f aca="true">IF(R111="","",IF(TODAY()-R111&gt;14,"Обновить","Актуально"))</f>
        <v/>
      </c>
      <c r="T111" s="8"/>
    </row>
    <row r="112" customFormat="false" ht="15" hidden="false" customHeight="true" outlineLevel="0" collapsed="false">
      <c r="A112" s="11" t="str">
        <f aca="false">IF(B112="","",ROW()-2)</f>
        <v/>
      </c>
      <c r="B112" s="7"/>
      <c r="C112" s="8"/>
      <c r="D112" s="7"/>
      <c r="E112" s="7"/>
      <c r="F112" s="7"/>
      <c r="G112" s="12"/>
      <c r="H112" s="12"/>
      <c r="I112" s="8"/>
      <c r="J112" s="12"/>
      <c r="K112" s="7"/>
      <c r="L112" s="13"/>
      <c r="M112" s="13"/>
      <c r="N112" s="7"/>
      <c r="O112" s="7"/>
      <c r="P112" s="8"/>
      <c r="Q112" s="8"/>
      <c r="R112" s="14"/>
      <c r="S112" s="11" t="str">
        <f aca="true">IF(R112="","",IF(TODAY()-R112&gt;14,"Обновить","Актуально"))</f>
        <v/>
      </c>
      <c r="T112" s="8"/>
    </row>
    <row r="113" customFormat="false" ht="15" hidden="false" customHeight="true" outlineLevel="0" collapsed="false">
      <c r="A113" s="11" t="str">
        <f aca="false">IF(B113="","",ROW()-2)</f>
        <v/>
      </c>
      <c r="B113" s="7"/>
      <c r="C113" s="8"/>
      <c r="D113" s="7"/>
      <c r="E113" s="7"/>
      <c r="F113" s="7"/>
      <c r="G113" s="12"/>
      <c r="H113" s="12"/>
      <c r="I113" s="8"/>
      <c r="J113" s="12"/>
      <c r="K113" s="7"/>
      <c r="L113" s="13"/>
      <c r="M113" s="13"/>
      <c r="N113" s="7"/>
      <c r="O113" s="7"/>
      <c r="P113" s="8"/>
      <c r="Q113" s="8"/>
      <c r="R113" s="14"/>
      <c r="S113" s="11" t="str">
        <f aca="true">IF(R113="","",IF(TODAY()-R113&gt;14,"Обновить","Актуально"))</f>
        <v/>
      </c>
      <c r="T113" s="8"/>
    </row>
    <row r="114" customFormat="false" ht="15" hidden="false" customHeight="true" outlineLevel="0" collapsed="false">
      <c r="A114" s="11" t="str">
        <f aca="false">IF(B114="","",ROW()-2)</f>
        <v/>
      </c>
      <c r="B114" s="7"/>
      <c r="C114" s="8"/>
      <c r="D114" s="7"/>
      <c r="E114" s="7"/>
      <c r="F114" s="7"/>
      <c r="G114" s="12"/>
      <c r="H114" s="12"/>
      <c r="I114" s="8"/>
      <c r="J114" s="12"/>
      <c r="K114" s="7"/>
      <c r="L114" s="13"/>
      <c r="M114" s="13"/>
      <c r="N114" s="7"/>
      <c r="O114" s="7"/>
      <c r="P114" s="8"/>
      <c r="Q114" s="8"/>
      <c r="R114" s="14"/>
      <c r="S114" s="11" t="str">
        <f aca="true">IF(R114="","",IF(TODAY()-R114&gt;14,"Обновить","Актуально"))</f>
        <v/>
      </c>
      <c r="T114" s="8"/>
    </row>
    <row r="115" customFormat="false" ht="15" hidden="false" customHeight="true" outlineLevel="0" collapsed="false">
      <c r="A115" s="11" t="str">
        <f aca="false">IF(B115="","",ROW()-2)</f>
        <v/>
      </c>
      <c r="B115" s="7"/>
      <c r="C115" s="8"/>
      <c r="D115" s="7"/>
      <c r="E115" s="7"/>
      <c r="F115" s="7"/>
      <c r="G115" s="12"/>
      <c r="H115" s="12"/>
      <c r="I115" s="8"/>
      <c r="J115" s="12"/>
      <c r="K115" s="7"/>
      <c r="L115" s="13"/>
      <c r="M115" s="13"/>
      <c r="N115" s="7"/>
      <c r="O115" s="7"/>
      <c r="P115" s="8"/>
      <c r="Q115" s="8"/>
      <c r="R115" s="14"/>
      <c r="S115" s="11" t="str">
        <f aca="true">IF(R115="","",IF(TODAY()-R115&gt;14,"Обновить","Актуально"))</f>
        <v/>
      </c>
      <c r="T115" s="8"/>
    </row>
    <row r="116" customFormat="false" ht="15" hidden="false" customHeight="true" outlineLevel="0" collapsed="false">
      <c r="A116" s="11" t="str">
        <f aca="false">IF(B116="","",ROW()-2)</f>
        <v/>
      </c>
      <c r="B116" s="7"/>
      <c r="C116" s="8"/>
      <c r="D116" s="7"/>
      <c r="E116" s="7"/>
      <c r="F116" s="7"/>
      <c r="G116" s="12"/>
      <c r="H116" s="12"/>
      <c r="I116" s="8"/>
      <c r="J116" s="12"/>
      <c r="K116" s="7"/>
      <c r="L116" s="13"/>
      <c r="M116" s="13"/>
      <c r="N116" s="7"/>
      <c r="O116" s="7"/>
      <c r="P116" s="8"/>
      <c r="Q116" s="8"/>
      <c r="R116" s="14"/>
      <c r="S116" s="11" t="str">
        <f aca="true">IF(R116="","",IF(TODAY()-R116&gt;14,"Обновить","Актуально"))</f>
        <v/>
      </c>
      <c r="T116" s="8"/>
    </row>
    <row r="117" customFormat="false" ht="15" hidden="false" customHeight="true" outlineLevel="0" collapsed="false">
      <c r="A117" s="11" t="str">
        <f aca="false">IF(B117="","",ROW()-2)</f>
        <v/>
      </c>
      <c r="B117" s="7"/>
      <c r="C117" s="8"/>
      <c r="D117" s="7"/>
      <c r="E117" s="7"/>
      <c r="F117" s="7"/>
      <c r="G117" s="12"/>
      <c r="H117" s="12"/>
      <c r="I117" s="8"/>
      <c r="J117" s="12"/>
      <c r="K117" s="7"/>
      <c r="L117" s="13"/>
      <c r="M117" s="13"/>
      <c r="N117" s="7"/>
      <c r="O117" s="7"/>
      <c r="P117" s="8"/>
      <c r="Q117" s="8"/>
      <c r="R117" s="14"/>
      <c r="S117" s="11" t="str">
        <f aca="true">IF(R117="","",IF(TODAY()-R117&gt;14,"Обновить","Актуально"))</f>
        <v/>
      </c>
      <c r="T117" s="8"/>
    </row>
    <row r="118" customFormat="false" ht="15" hidden="false" customHeight="true" outlineLevel="0" collapsed="false">
      <c r="A118" s="11" t="str">
        <f aca="false">IF(B118="","",ROW()-2)</f>
        <v/>
      </c>
      <c r="B118" s="7"/>
      <c r="C118" s="8"/>
      <c r="D118" s="7"/>
      <c r="E118" s="7"/>
      <c r="F118" s="7"/>
      <c r="G118" s="12"/>
      <c r="H118" s="12"/>
      <c r="I118" s="8"/>
      <c r="J118" s="12"/>
      <c r="K118" s="7"/>
      <c r="L118" s="13"/>
      <c r="M118" s="13"/>
      <c r="N118" s="7"/>
      <c r="O118" s="7"/>
      <c r="P118" s="8"/>
      <c r="Q118" s="8"/>
      <c r="R118" s="14"/>
      <c r="S118" s="11" t="str">
        <f aca="true">IF(R118="","",IF(TODAY()-R118&gt;14,"Обновить","Актуально"))</f>
        <v/>
      </c>
      <c r="T118" s="8"/>
    </row>
    <row r="119" customFormat="false" ht="15" hidden="false" customHeight="true" outlineLevel="0" collapsed="false">
      <c r="A119" s="11" t="str">
        <f aca="false">IF(B119="","",ROW()-2)</f>
        <v/>
      </c>
      <c r="B119" s="7"/>
      <c r="C119" s="8"/>
      <c r="D119" s="7"/>
      <c r="E119" s="7"/>
      <c r="F119" s="7"/>
      <c r="G119" s="12"/>
      <c r="H119" s="12"/>
      <c r="I119" s="8"/>
      <c r="J119" s="12"/>
      <c r="K119" s="7"/>
      <c r="L119" s="13"/>
      <c r="M119" s="13"/>
      <c r="N119" s="7"/>
      <c r="O119" s="7"/>
      <c r="P119" s="8"/>
      <c r="Q119" s="8"/>
      <c r="R119" s="14"/>
      <c r="S119" s="11" t="str">
        <f aca="true">IF(R119="","",IF(TODAY()-R119&gt;14,"Обновить","Актуально"))</f>
        <v/>
      </c>
      <c r="T119" s="8"/>
    </row>
    <row r="120" customFormat="false" ht="15" hidden="false" customHeight="true" outlineLevel="0" collapsed="false">
      <c r="A120" s="11" t="str">
        <f aca="false">IF(B120="","",ROW()-2)</f>
        <v/>
      </c>
      <c r="B120" s="7"/>
      <c r="C120" s="8"/>
      <c r="D120" s="7"/>
      <c r="E120" s="7"/>
      <c r="F120" s="7"/>
      <c r="G120" s="12"/>
      <c r="H120" s="12"/>
      <c r="I120" s="8"/>
      <c r="J120" s="12"/>
      <c r="K120" s="7"/>
      <c r="L120" s="13"/>
      <c r="M120" s="13"/>
      <c r="N120" s="7"/>
      <c r="O120" s="7"/>
      <c r="P120" s="8"/>
      <c r="Q120" s="8"/>
      <c r="R120" s="14"/>
      <c r="S120" s="11" t="str">
        <f aca="true">IF(R120="","",IF(TODAY()-R120&gt;14,"Обновить","Актуально"))</f>
        <v/>
      </c>
      <c r="T120" s="8"/>
    </row>
    <row r="121" customFormat="false" ht="15" hidden="false" customHeight="true" outlineLevel="0" collapsed="false">
      <c r="A121" s="11" t="str">
        <f aca="false">IF(B121="","",ROW()-2)</f>
        <v/>
      </c>
      <c r="B121" s="7"/>
      <c r="C121" s="8"/>
      <c r="D121" s="7"/>
      <c r="E121" s="7"/>
      <c r="F121" s="7"/>
      <c r="G121" s="12"/>
      <c r="H121" s="12"/>
      <c r="I121" s="8"/>
      <c r="J121" s="12"/>
      <c r="K121" s="7"/>
      <c r="L121" s="13"/>
      <c r="M121" s="13"/>
      <c r="N121" s="7"/>
      <c r="O121" s="7"/>
      <c r="P121" s="8"/>
      <c r="Q121" s="8"/>
      <c r="R121" s="14"/>
      <c r="S121" s="11" t="str">
        <f aca="true">IF(R121="","",IF(TODAY()-R121&gt;14,"Обновить","Актуально"))</f>
        <v/>
      </c>
      <c r="T121" s="8"/>
    </row>
    <row r="122" customFormat="false" ht="15" hidden="false" customHeight="true" outlineLevel="0" collapsed="false">
      <c r="A122" s="11" t="str">
        <f aca="false">IF(B122="","",ROW()-2)</f>
        <v/>
      </c>
      <c r="B122" s="7"/>
      <c r="C122" s="8"/>
      <c r="D122" s="7"/>
      <c r="E122" s="7"/>
      <c r="F122" s="7"/>
      <c r="G122" s="12"/>
      <c r="H122" s="12"/>
      <c r="I122" s="8"/>
      <c r="J122" s="12"/>
      <c r="K122" s="7"/>
      <c r="L122" s="13"/>
      <c r="M122" s="13"/>
      <c r="N122" s="7"/>
      <c r="O122" s="7"/>
      <c r="P122" s="8"/>
      <c r="Q122" s="8"/>
      <c r="R122" s="14"/>
      <c r="S122" s="11" t="str">
        <f aca="true">IF(R122="","",IF(TODAY()-R122&gt;14,"Обновить","Актуально"))</f>
        <v/>
      </c>
      <c r="T122" s="8"/>
    </row>
    <row r="123" customFormat="false" ht="15" hidden="false" customHeight="true" outlineLevel="0" collapsed="false">
      <c r="A123" s="11" t="str">
        <f aca="false">IF(B123="","",ROW()-2)</f>
        <v/>
      </c>
      <c r="B123" s="7"/>
      <c r="C123" s="8"/>
      <c r="D123" s="7"/>
      <c r="E123" s="7"/>
      <c r="F123" s="7"/>
      <c r="G123" s="12"/>
      <c r="H123" s="12"/>
      <c r="I123" s="8"/>
      <c r="J123" s="12"/>
      <c r="K123" s="7"/>
      <c r="L123" s="13"/>
      <c r="M123" s="13"/>
      <c r="N123" s="7"/>
      <c r="O123" s="7"/>
      <c r="P123" s="8"/>
      <c r="Q123" s="8"/>
      <c r="R123" s="14"/>
      <c r="S123" s="11" t="str">
        <f aca="true">IF(R123="","",IF(TODAY()-R123&gt;14,"Обновить","Актуально"))</f>
        <v/>
      </c>
      <c r="T123" s="8"/>
    </row>
    <row r="124" customFormat="false" ht="15" hidden="false" customHeight="true" outlineLevel="0" collapsed="false">
      <c r="A124" s="11" t="str">
        <f aca="false">IF(B124="","",ROW()-2)</f>
        <v/>
      </c>
      <c r="B124" s="7"/>
      <c r="C124" s="8"/>
      <c r="D124" s="7"/>
      <c r="E124" s="7"/>
      <c r="F124" s="7"/>
      <c r="G124" s="12"/>
      <c r="H124" s="12"/>
      <c r="I124" s="8"/>
      <c r="J124" s="12"/>
      <c r="K124" s="7"/>
      <c r="L124" s="13"/>
      <c r="M124" s="13"/>
      <c r="N124" s="7"/>
      <c r="O124" s="7"/>
      <c r="P124" s="8"/>
      <c r="Q124" s="8"/>
      <c r="R124" s="14"/>
      <c r="S124" s="11" t="str">
        <f aca="true">IF(R124="","",IF(TODAY()-R124&gt;14,"Обновить","Актуально"))</f>
        <v/>
      </c>
      <c r="T124" s="8"/>
    </row>
    <row r="125" customFormat="false" ht="15" hidden="false" customHeight="true" outlineLevel="0" collapsed="false">
      <c r="A125" s="11" t="str">
        <f aca="false">IF(B125="","",ROW()-2)</f>
        <v/>
      </c>
      <c r="B125" s="7"/>
      <c r="C125" s="8"/>
      <c r="D125" s="7"/>
      <c r="E125" s="7"/>
      <c r="F125" s="7"/>
      <c r="G125" s="12"/>
      <c r="H125" s="12"/>
      <c r="I125" s="8"/>
      <c r="J125" s="12"/>
      <c r="K125" s="7"/>
      <c r="L125" s="13"/>
      <c r="M125" s="13"/>
      <c r="N125" s="7"/>
      <c r="O125" s="7"/>
      <c r="P125" s="8"/>
      <c r="Q125" s="8"/>
      <c r="R125" s="14"/>
      <c r="S125" s="11" t="str">
        <f aca="true">IF(R125="","",IF(TODAY()-R125&gt;14,"Обновить","Актуально"))</f>
        <v/>
      </c>
      <c r="T125" s="8"/>
    </row>
    <row r="126" customFormat="false" ht="15" hidden="false" customHeight="true" outlineLevel="0" collapsed="false">
      <c r="A126" s="11" t="str">
        <f aca="false">IF(B126="","",ROW()-2)</f>
        <v/>
      </c>
      <c r="B126" s="7"/>
      <c r="C126" s="8"/>
      <c r="D126" s="7"/>
      <c r="E126" s="7"/>
      <c r="F126" s="7"/>
      <c r="G126" s="12"/>
      <c r="H126" s="12"/>
      <c r="I126" s="8"/>
      <c r="J126" s="12"/>
      <c r="K126" s="7"/>
      <c r="L126" s="13"/>
      <c r="M126" s="13"/>
      <c r="N126" s="7"/>
      <c r="O126" s="7"/>
      <c r="P126" s="8"/>
      <c r="Q126" s="8"/>
      <c r="R126" s="14"/>
      <c r="S126" s="11" t="str">
        <f aca="true">IF(R126="","",IF(TODAY()-R126&gt;14,"Обновить","Актуально"))</f>
        <v/>
      </c>
      <c r="T126" s="8"/>
    </row>
    <row r="127" customFormat="false" ht="15" hidden="false" customHeight="true" outlineLevel="0" collapsed="false">
      <c r="A127" s="11" t="str">
        <f aca="false">IF(B127="","",ROW()-2)</f>
        <v/>
      </c>
      <c r="B127" s="7"/>
      <c r="C127" s="8"/>
      <c r="D127" s="7"/>
      <c r="E127" s="7"/>
      <c r="F127" s="7"/>
      <c r="G127" s="12"/>
      <c r="H127" s="12"/>
      <c r="I127" s="8"/>
      <c r="J127" s="12"/>
      <c r="K127" s="7"/>
      <c r="L127" s="13"/>
      <c r="M127" s="13"/>
      <c r="N127" s="7"/>
      <c r="O127" s="7"/>
      <c r="P127" s="8"/>
      <c r="Q127" s="8"/>
      <c r="R127" s="14"/>
      <c r="S127" s="11" t="str">
        <f aca="true">IF(R127="","",IF(TODAY()-R127&gt;14,"Обновить","Актуально"))</f>
        <v/>
      </c>
      <c r="T127" s="8"/>
    </row>
    <row r="128" customFormat="false" ht="15" hidden="false" customHeight="true" outlineLevel="0" collapsed="false">
      <c r="A128" s="11" t="str">
        <f aca="false">IF(B128="","",ROW()-2)</f>
        <v/>
      </c>
      <c r="B128" s="7"/>
      <c r="C128" s="8"/>
      <c r="D128" s="7"/>
      <c r="E128" s="7"/>
      <c r="F128" s="7"/>
      <c r="G128" s="12"/>
      <c r="H128" s="12"/>
      <c r="I128" s="8"/>
      <c r="J128" s="12"/>
      <c r="K128" s="7"/>
      <c r="L128" s="13"/>
      <c r="M128" s="13"/>
      <c r="N128" s="7"/>
      <c r="O128" s="7"/>
      <c r="P128" s="8"/>
      <c r="Q128" s="8"/>
      <c r="R128" s="14"/>
      <c r="S128" s="11" t="str">
        <f aca="true">IF(R128="","",IF(TODAY()-R128&gt;14,"Обновить","Актуально"))</f>
        <v/>
      </c>
      <c r="T128" s="8"/>
    </row>
    <row r="129" customFormat="false" ht="15" hidden="false" customHeight="true" outlineLevel="0" collapsed="false">
      <c r="A129" s="11" t="str">
        <f aca="false">IF(B129="","",ROW()-2)</f>
        <v/>
      </c>
      <c r="B129" s="7"/>
      <c r="C129" s="8"/>
      <c r="D129" s="7"/>
      <c r="E129" s="7"/>
      <c r="F129" s="7"/>
      <c r="G129" s="12"/>
      <c r="H129" s="12"/>
      <c r="I129" s="8"/>
      <c r="J129" s="12"/>
      <c r="K129" s="7"/>
      <c r="L129" s="13"/>
      <c r="M129" s="13"/>
      <c r="N129" s="7"/>
      <c r="O129" s="7"/>
      <c r="P129" s="8"/>
      <c r="Q129" s="8"/>
      <c r="R129" s="14"/>
      <c r="S129" s="11" t="str">
        <f aca="true">IF(R129="","",IF(TODAY()-R129&gt;14,"Обновить","Актуально"))</f>
        <v/>
      </c>
      <c r="T129" s="8"/>
    </row>
    <row r="130" customFormat="false" ht="15" hidden="false" customHeight="true" outlineLevel="0" collapsed="false">
      <c r="A130" s="11" t="str">
        <f aca="false">IF(B130="","",ROW()-2)</f>
        <v/>
      </c>
      <c r="B130" s="7"/>
      <c r="C130" s="8"/>
      <c r="D130" s="7"/>
      <c r="E130" s="7"/>
      <c r="F130" s="7"/>
      <c r="G130" s="12"/>
      <c r="H130" s="12"/>
      <c r="I130" s="8"/>
      <c r="J130" s="12"/>
      <c r="K130" s="7"/>
      <c r="L130" s="13"/>
      <c r="M130" s="13"/>
      <c r="N130" s="7"/>
      <c r="O130" s="7"/>
      <c r="P130" s="8"/>
      <c r="Q130" s="8"/>
      <c r="R130" s="14"/>
      <c r="S130" s="11" t="str">
        <f aca="true">IF(R130="","",IF(TODAY()-R130&gt;14,"Обновить","Актуально"))</f>
        <v/>
      </c>
      <c r="T130" s="8"/>
    </row>
    <row r="131" customFormat="false" ht="15" hidden="false" customHeight="true" outlineLevel="0" collapsed="false">
      <c r="A131" s="11" t="str">
        <f aca="false">IF(B131="","",ROW()-2)</f>
        <v/>
      </c>
      <c r="B131" s="7"/>
      <c r="C131" s="8"/>
      <c r="D131" s="7"/>
      <c r="E131" s="7"/>
      <c r="F131" s="7"/>
      <c r="G131" s="12"/>
      <c r="H131" s="12"/>
      <c r="I131" s="8"/>
      <c r="J131" s="12"/>
      <c r="K131" s="7"/>
      <c r="L131" s="13"/>
      <c r="M131" s="13"/>
      <c r="N131" s="7"/>
      <c r="O131" s="7"/>
      <c r="P131" s="8"/>
      <c r="Q131" s="8"/>
      <c r="R131" s="14"/>
      <c r="S131" s="11" t="str">
        <f aca="true">IF(R131="","",IF(TODAY()-R131&gt;14,"Обновить","Актуально"))</f>
        <v/>
      </c>
      <c r="T131" s="8"/>
    </row>
    <row r="132" customFormat="false" ht="15" hidden="false" customHeight="true" outlineLevel="0" collapsed="false">
      <c r="A132" s="11" t="str">
        <f aca="false">IF(B132="","",ROW()-2)</f>
        <v/>
      </c>
      <c r="B132" s="7"/>
      <c r="C132" s="8"/>
      <c r="D132" s="7"/>
      <c r="E132" s="7"/>
      <c r="F132" s="7"/>
      <c r="G132" s="12"/>
      <c r="H132" s="12"/>
      <c r="I132" s="8"/>
      <c r="J132" s="12"/>
      <c r="K132" s="7"/>
      <c r="L132" s="13"/>
      <c r="M132" s="13"/>
      <c r="N132" s="7"/>
      <c r="O132" s="7"/>
      <c r="P132" s="8"/>
      <c r="Q132" s="8"/>
      <c r="R132" s="14"/>
      <c r="S132" s="11" t="str">
        <f aca="true">IF(R132="","",IF(TODAY()-R132&gt;14,"Обновить","Актуально"))</f>
        <v/>
      </c>
      <c r="T132" s="8"/>
    </row>
    <row r="133" customFormat="false" ht="15" hidden="false" customHeight="true" outlineLevel="0" collapsed="false">
      <c r="A133" s="11" t="str">
        <f aca="false">IF(B133="","",ROW()-2)</f>
        <v/>
      </c>
      <c r="B133" s="7"/>
      <c r="C133" s="8"/>
      <c r="D133" s="7"/>
      <c r="E133" s="7"/>
      <c r="F133" s="7"/>
      <c r="G133" s="12"/>
      <c r="H133" s="12"/>
      <c r="I133" s="8"/>
      <c r="J133" s="12"/>
      <c r="K133" s="7"/>
      <c r="L133" s="13"/>
      <c r="M133" s="13"/>
      <c r="N133" s="7"/>
      <c r="O133" s="7"/>
      <c r="P133" s="8"/>
      <c r="Q133" s="8"/>
      <c r="R133" s="14"/>
      <c r="S133" s="11" t="str">
        <f aca="true">IF(R133="","",IF(TODAY()-R133&gt;14,"Обновить","Актуально"))</f>
        <v/>
      </c>
      <c r="T133" s="8"/>
    </row>
    <row r="134" customFormat="false" ht="15" hidden="false" customHeight="true" outlineLevel="0" collapsed="false">
      <c r="A134" s="11" t="str">
        <f aca="false">IF(B134="","",ROW()-2)</f>
        <v/>
      </c>
      <c r="B134" s="7"/>
      <c r="C134" s="8"/>
      <c r="D134" s="7"/>
      <c r="E134" s="7"/>
      <c r="F134" s="7"/>
      <c r="G134" s="12"/>
      <c r="H134" s="12"/>
      <c r="I134" s="8"/>
      <c r="J134" s="12"/>
      <c r="K134" s="7"/>
      <c r="L134" s="13"/>
      <c r="M134" s="13"/>
      <c r="N134" s="7"/>
      <c r="O134" s="7"/>
      <c r="P134" s="8"/>
      <c r="Q134" s="8"/>
      <c r="R134" s="14"/>
      <c r="S134" s="11" t="str">
        <f aca="true">IF(R134="","",IF(TODAY()-R134&gt;14,"Обновить","Актуально"))</f>
        <v/>
      </c>
      <c r="T134" s="8"/>
    </row>
    <row r="135" customFormat="false" ht="15" hidden="false" customHeight="true" outlineLevel="0" collapsed="false">
      <c r="A135" s="11" t="str">
        <f aca="false">IF(B135="","",ROW()-2)</f>
        <v/>
      </c>
      <c r="B135" s="7"/>
      <c r="C135" s="8"/>
      <c r="D135" s="7"/>
      <c r="E135" s="7"/>
      <c r="F135" s="7"/>
      <c r="G135" s="12"/>
      <c r="H135" s="12"/>
      <c r="I135" s="8"/>
      <c r="J135" s="12"/>
      <c r="K135" s="7"/>
      <c r="L135" s="13"/>
      <c r="M135" s="13"/>
      <c r="N135" s="7"/>
      <c r="O135" s="7"/>
      <c r="P135" s="8"/>
      <c r="Q135" s="8"/>
      <c r="R135" s="14"/>
      <c r="S135" s="11" t="str">
        <f aca="true">IF(R135="","",IF(TODAY()-R135&gt;14,"Обновить","Актуально"))</f>
        <v/>
      </c>
      <c r="T135" s="8"/>
    </row>
    <row r="136" customFormat="false" ht="15" hidden="false" customHeight="true" outlineLevel="0" collapsed="false">
      <c r="A136" s="11" t="str">
        <f aca="false">IF(B136="","",ROW()-2)</f>
        <v/>
      </c>
      <c r="B136" s="7"/>
      <c r="C136" s="8"/>
      <c r="D136" s="7"/>
      <c r="E136" s="7"/>
      <c r="F136" s="7"/>
      <c r="G136" s="12"/>
      <c r="H136" s="12"/>
      <c r="I136" s="8"/>
      <c r="J136" s="12"/>
      <c r="K136" s="7"/>
      <c r="L136" s="13"/>
      <c r="M136" s="13"/>
      <c r="N136" s="7"/>
      <c r="O136" s="7"/>
      <c r="P136" s="8"/>
      <c r="Q136" s="8"/>
      <c r="R136" s="14"/>
      <c r="S136" s="11" t="str">
        <f aca="true">IF(R136="","",IF(TODAY()-R136&gt;14,"Обновить","Актуально"))</f>
        <v/>
      </c>
      <c r="T136" s="8"/>
    </row>
    <row r="137" customFormat="false" ht="15" hidden="false" customHeight="true" outlineLevel="0" collapsed="false">
      <c r="A137" s="11" t="str">
        <f aca="false">IF(B137="","",ROW()-2)</f>
        <v/>
      </c>
      <c r="B137" s="7"/>
      <c r="C137" s="8"/>
      <c r="D137" s="7"/>
      <c r="E137" s="7"/>
      <c r="F137" s="7"/>
      <c r="G137" s="12"/>
      <c r="H137" s="12"/>
      <c r="I137" s="8"/>
      <c r="J137" s="12"/>
      <c r="K137" s="7"/>
      <c r="L137" s="13"/>
      <c r="M137" s="13"/>
      <c r="N137" s="7"/>
      <c r="O137" s="7"/>
      <c r="P137" s="8"/>
      <c r="Q137" s="8"/>
      <c r="R137" s="14"/>
      <c r="S137" s="11" t="str">
        <f aca="true">IF(R137="","",IF(TODAY()-R137&gt;14,"Обновить","Актуально"))</f>
        <v/>
      </c>
      <c r="T137" s="8"/>
    </row>
    <row r="138" customFormat="false" ht="15" hidden="false" customHeight="true" outlineLevel="0" collapsed="false">
      <c r="A138" s="11" t="str">
        <f aca="false">IF(B138="","",ROW()-2)</f>
        <v/>
      </c>
      <c r="B138" s="7"/>
      <c r="C138" s="8"/>
      <c r="D138" s="7"/>
      <c r="E138" s="7"/>
      <c r="F138" s="7"/>
      <c r="G138" s="12"/>
      <c r="H138" s="12"/>
      <c r="I138" s="8"/>
      <c r="J138" s="12"/>
      <c r="K138" s="7"/>
      <c r="L138" s="13"/>
      <c r="M138" s="13"/>
      <c r="N138" s="7"/>
      <c r="O138" s="7"/>
      <c r="P138" s="8"/>
      <c r="Q138" s="8"/>
      <c r="R138" s="14"/>
      <c r="S138" s="11" t="str">
        <f aca="true">IF(R138="","",IF(TODAY()-R138&gt;14,"Обновить","Актуально"))</f>
        <v/>
      </c>
      <c r="T138" s="8"/>
    </row>
    <row r="139" customFormat="false" ht="15" hidden="false" customHeight="true" outlineLevel="0" collapsed="false">
      <c r="A139" s="11" t="str">
        <f aca="false">IF(B139="","",ROW()-2)</f>
        <v/>
      </c>
      <c r="B139" s="7"/>
      <c r="C139" s="8"/>
      <c r="D139" s="7"/>
      <c r="E139" s="7"/>
      <c r="F139" s="7"/>
      <c r="G139" s="12"/>
      <c r="H139" s="12"/>
      <c r="I139" s="8"/>
      <c r="J139" s="12"/>
      <c r="K139" s="7"/>
      <c r="L139" s="13"/>
      <c r="M139" s="13"/>
      <c r="N139" s="7"/>
      <c r="O139" s="7"/>
      <c r="P139" s="8"/>
      <c r="Q139" s="8"/>
      <c r="R139" s="14"/>
      <c r="S139" s="11" t="str">
        <f aca="true">IF(R139="","",IF(TODAY()-R139&gt;14,"Обновить","Актуально"))</f>
        <v/>
      </c>
      <c r="T139" s="8"/>
    </row>
    <row r="140" customFormat="false" ht="15" hidden="false" customHeight="true" outlineLevel="0" collapsed="false">
      <c r="A140" s="11" t="str">
        <f aca="false">IF(B140="","",ROW()-2)</f>
        <v/>
      </c>
      <c r="B140" s="7"/>
      <c r="C140" s="8"/>
      <c r="D140" s="7"/>
      <c r="E140" s="7"/>
      <c r="F140" s="7"/>
      <c r="G140" s="12"/>
      <c r="H140" s="12"/>
      <c r="I140" s="8"/>
      <c r="J140" s="12"/>
      <c r="K140" s="7"/>
      <c r="L140" s="13"/>
      <c r="M140" s="13"/>
      <c r="N140" s="7"/>
      <c r="O140" s="7"/>
      <c r="P140" s="8"/>
      <c r="Q140" s="8"/>
      <c r="R140" s="14"/>
      <c r="S140" s="11" t="str">
        <f aca="true">IF(R140="","",IF(TODAY()-R140&gt;14,"Обновить","Актуально"))</f>
        <v/>
      </c>
      <c r="T140" s="8"/>
    </row>
    <row r="141" customFormat="false" ht="15" hidden="false" customHeight="true" outlineLevel="0" collapsed="false">
      <c r="A141" s="11" t="str">
        <f aca="false">IF(B141="","",ROW()-2)</f>
        <v/>
      </c>
      <c r="B141" s="7"/>
      <c r="C141" s="8"/>
      <c r="D141" s="7"/>
      <c r="E141" s="7"/>
      <c r="F141" s="7"/>
      <c r="G141" s="12"/>
      <c r="H141" s="12"/>
      <c r="I141" s="8"/>
      <c r="J141" s="12"/>
      <c r="K141" s="7"/>
      <c r="L141" s="13"/>
      <c r="M141" s="13"/>
      <c r="N141" s="7"/>
      <c r="O141" s="7"/>
      <c r="P141" s="8"/>
      <c r="Q141" s="8"/>
      <c r="R141" s="14"/>
      <c r="S141" s="11" t="str">
        <f aca="true">IF(R141="","",IF(TODAY()-R141&gt;14,"Обновить","Актуально"))</f>
        <v/>
      </c>
      <c r="T141" s="8"/>
    </row>
    <row r="142" customFormat="false" ht="15" hidden="false" customHeight="true" outlineLevel="0" collapsed="false">
      <c r="A142" s="11" t="str">
        <f aca="false">IF(B142="","",ROW()-2)</f>
        <v/>
      </c>
      <c r="B142" s="7"/>
      <c r="C142" s="8"/>
      <c r="D142" s="7"/>
      <c r="E142" s="7"/>
      <c r="F142" s="7"/>
      <c r="G142" s="12"/>
      <c r="H142" s="12"/>
      <c r="I142" s="8"/>
      <c r="J142" s="12"/>
      <c r="K142" s="7"/>
      <c r="L142" s="13"/>
      <c r="M142" s="13"/>
      <c r="N142" s="7"/>
      <c r="O142" s="7"/>
      <c r="P142" s="8"/>
      <c r="Q142" s="8"/>
      <c r="R142" s="14"/>
      <c r="S142" s="11" t="str">
        <f aca="true">IF(R142="","",IF(TODAY()-R142&gt;14,"Обновить","Актуально"))</f>
        <v/>
      </c>
      <c r="T142" s="8"/>
    </row>
    <row r="143" customFormat="false" ht="15" hidden="false" customHeight="true" outlineLevel="0" collapsed="false">
      <c r="A143" s="11" t="str">
        <f aca="false">IF(B143="","",ROW()-2)</f>
        <v/>
      </c>
      <c r="B143" s="7"/>
      <c r="C143" s="8"/>
      <c r="D143" s="7"/>
      <c r="E143" s="7"/>
      <c r="F143" s="7"/>
      <c r="G143" s="12"/>
      <c r="H143" s="12"/>
      <c r="I143" s="8"/>
      <c r="J143" s="12"/>
      <c r="K143" s="7"/>
      <c r="L143" s="13"/>
      <c r="M143" s="13"/>
      <c r="N143" s="7"/>
      <c r="O143" s="7"/>
      <c r="P143" s="8"/>
      <c r="Q143" s="8"/>
      <c r="R143" s="14"/>
      <c r="S143" s="11" t="str">
        <f aca="true">IF(R143="","",IF(TODAY()-R143&gt;14,"Обновить","Актуально"))</f>
        <v/>
      </c>
      <c r="T143" s="8"/>
    </row>
    <row r="144" customFormat="false" ht="15" hidden="false" customHeight="true" outlineLevel="0" collapsed="false">
      <c r="A144" s="11" t="str">
        <f aca="false">IF(B144="","",ROW()-2)</f>
        <v/>
      </c>
      <c r="B144" s="7"/>
      <c r="C144" s="8"/>
      <c r="D144" s="7"/>
      <c r="E144" s="7"/>
      <c r="F144" s="7"/>
      <c r="G144" s="12"/>
      <c r="H144" s="12"/>
      <c r="I144" s="8"/>
      <c r="J144" s="12"/>
      <c r="K144" s="7"/>
      <c r="L144" s="13"/>
      <c r="M144" s="13"/>
      <c r="N144" s="7"/>
      <c r="O144" s="7"/>
      <c r="P144" s="8"/>
      <c r="Q144" s="8"/>
      <c r="R144" s="14"/>
      <c r="S144" s="11" t="str">
        <f aca="true">IF(R144="","",IF(TODAY()-R144&gt;14,"Обновить","Актуально"))</f>
        <v/>
      </c>
      <c r="T144" s="8"/>
    </row>
    <row r="145" customFormat="false" ht="15" hidden="false" customHeight="true" outlineLevel="0" collapsed="false">
      <c r="A145" s="11" t="str">
        <f aca="false">IF(B145="","",ROW()-2)</f>
        <v/>
      </c>
      <c r="B145" s="7"/>
      <c r="C145" s="8"/>
      <c r="D145" s="7"/>
      <c r="E145" s="7"/>
      <c r="F145" s="7"/>
      <c r="G145" s="12"/>
      <c r="H145" s="12"/>
      <c r="I145" s="8"/>
      <c r="J145" s="12"/>
      <c r="K145" s="7"/>
      <c r="L145" s="13"/>
      <c r="M145" s="13"/>
      <c r="N145" s="7"/>
      <c r="O145" s="7"/>
      <c r="P145" s="8"/>
      <c r="Q145" s="8"/>
      <c r="R145" s="14"/>
      <c r="S145" s="11" t="str">
        <f aca="true">IF(R145="","",IF(TODAY()-R145&gt;14,"Обновить","Актуально"))</f>
        <v/>
      </c>
      <c r="T145" s="8"/>
    </row>
    <row r="146" customFormat="false" ht="15" hidden="false" customHeight="true" outlineLevel="0" collapsed="false">
      <c r="A146" s="11" t="str">
        <f aca="false">IF(B146="","",ROW()-2)</f>
        <v/>
      </c>
      <c r="B146" s="7"/>
      <c r="C146" s="8"/>
      <c r="D146" s="7"/>
      <c r="E146" s="7"/>
      <c r="F146" s="7"/>
      <c r="G146" s="12"/>
      <c r="H146" s="12"/>
      <c r="I146" s="8"/>
      <c r="J146" s="12"/>
      <c r="K146" s="7"/>
      <c r="L146" s="13"/>
      <c r="M146" s="13"/>
      <c r="N146" s="7"/>
      <c r="O146" s="7"/>
      <c r="P146" s="8"/>
      <c r="Q146" s="8"/>
      <c r="R146" s="14"/>
      <c r="S146" s="11" t="str">
        <f aca="true">IF(R146="","",IF(TODAY()-R146&gt;14,"Обновить","Актуально"))</f>
        <v/>
      </c>
      <c r="T146" s="8"/>
    </row>
    <row r="147" customFormat="false" ht="15" hidden="false" customHeight="true" outlineLevel="0" collapsed="false">
      <c r="A147" s="11" t="str">
        <f aca="false">IF(B147="","",ROW()-2)</f>
        <v/>
      </c>
      <c r="B147" s="7"/>
      <c r="C147" s="8"/>
      <c r="D147" s="7"/>
      <c r="E147" s="7"/>
      <c r="F147" s="7"/>
      <c r="G147" s="12"/>
      <c r="H147" s="12"/>
      <c r="I147" s="8"/>
      <c r="J147" s="12"/>
      <c r="K147" s="7"/>
      <c r="L147" s="13"/>
      <c r="M147" s="13"/>
      <c r="N147" s="7"/>
      <c r="O147" s="7"/>
      <c r="P147" s="8"/>
      <c r="Q147" s="8"/>
      <c r="R147" s="14"/>
      <c r="S147" s="11" t="str">
        <f aca="true">IF(R147="","",IF(TODAY()-R147&gt;14,"Обновить","Актуально"))</f>
        <v/>
      </c>
      <c r="T147" s="8"/>
    </row>
    <row r="148" customFormat="false" ht="15" hidden="false" customHeight="true" outlineLevel="0" collapsed="false">
      <c r="A148" s="11" t="str">
        <f aca="false">IF(B148="","",ROW()-2)</f>
        <v/>
      </c>
      <c r="B148" s="7"/>
      <c r="C148" s="8"/>
      <c r="D148" s="7"/>
      <c r="E148" s="7"/>
      <c r="F148" s="7"/>
      <c r="G148" s="12"/>
      <c r="H148" s="12"/>
      <c r="I148" s="8"/>
      <c r="J148" s="12"/>
      <c r="K148" s="7"/>
      <c r="L148" s="13"/>
      <c r="M148" s="13"/>
      <c r="N148" s="7"/>
      <c r="O148" s="7"/>
      <c r="P148" s="8"/>
      <c r="Q148" s="8"/>
      <c r="R148" s="14"/>
      <c r="S148" s="11" t="str">
        <f aca="true">IF(R148="","",IF(TODAY()-R148&gt;14,"Обновить","Актуально"))</f>
        <v/>
      </c>
      <c r="T148" s="8"/>
    </row>
    <row r="149" customFormat="false" ht="15" hidden="false" customHeight="true" outlineLevel="0" collapsed="false">
      <c r="A149" s="11" t="str">
        <f aca="false">IF(B149="","",ROW()-2)</f>
        <v/>
      </c>
      <c r="B149" s="7"/>
      <c r="C149" s="8"/>
      <c r="D149" s="7"/>
      <c r="E149" s="7"/>
      <c r="F149" s="7"/>
      <c r="G149" s="12"/>
      <c r="H149" s="12"/>
      <c r="I149" s="8"/>
      <c r="J149" s="12"/>
      <c r="K149" s="7"/>
      <c r="L149" s="13"/>
      <c r="M149" s="13"/>
      <c r="N149" s="7"/>
      <c r="O149" s="7"/>
      <c r="P149" s="8"/>
      <c r="Q149" s="8"/>
      <c r="R149" s="14"/>
      <c r="S149" s="11" t="str">
        <f aca="true">IF(R149="","",IF(TODAY()-R149&gt;14,"Обновить","Актуально"))</f>
        <v/>
      </c>
      <c r="T149" s="8"/>
    </row>
    <row r="150" customFormat="false" ht="15" hidden="false" customHeight="true" outlineLevel="0" collapsed="false">
      <c r="A150" s="11" t="str">
        <f aca="false">IF(B150="","",ROW()-2)</f>
        <v/>
      </c>
      <c r="B150" s="7"/>
      <c r="C150" s="8"/>
      <c r="D150" s="7"/>
      <c r="E150" s="7"/>
      <c r="F150" s="7"/>
      <c r="G150" s="12"/>
      <c r="H150" s="12"/>
      <c r="I150" s="8"/>
      <c r="J150" s="12"/>
      <c r="K150" s="7"/>
      <c r="L150" s="13"/>
      <c r="M150" s="13"/>
      <c r="N150" s="7"/>
      <c r="O150" s="7"/>
      <c r="P150" s="8"/>
      <c r="Q150" s="8"/>
      <c r="R150" s="14"/>
      <c r="S150" s="11" t="str">
        <f aca="true">IF(R150="","",IF(TODAY()-R150&gt;14,"Обновить","Актуально"))</f>
        <v/>
      </c>
      <c r="T150" s="8"/>
    </row>
    <row r="151" customFormat="false" ht="15" hidden="false" customHeight="true" outlineLevel="0" collapsed="false">
      <c r="A151" s="11" t="str">
        <f aca="false">IF(B151="","",ROW()-2)</f>
        <v/>
      </c>
      <c r="B151" s="7"/>
      <c r="C151" s="8"/>
      <c r="D151" s="7"/>
      <c r="E151" s="7"/>
      <c r="F151" s="7"/>
      <c r="G151" s="12"/>
      <c r="H151" s="12"/>
      <c r="I151" s="8"/>
      <c r="J151" s="12"/>
      <c r="K151" s="7"/>
      <c r="L151" s="13"/>
      <c r="M151" s="13"/>
      <c r="N151" s="7"/>
      <c r="O151" s="7"/>
      <c r="P151" s="8"/>
      <c r="Q151" s="8"/>
      <c r="R151" s="14"/>
      <c r="S151" s="11" t="str">
        <f aca="true">IF(R151="","",IF(TODAY()-R151&gt;14,"Обновить","Актуально"))</f>
        <v/>
      </c>
      <c r="T151" s="8"/>
    </row>
    <row r="152" customFormat="false" ht="15" hidden="false" customHeight="true" outlineLevel="0" collapsed="false">
      <c r="A152" s="11" t="str">
        <f aca="false">IF(B152="","",ROW()-2)</f>
        <v/>
      </c>
      <c r="B152" s="7"/>
      <c r="C152" s="8"/>
      <c r="D152" s="7"/>
      <c r="E152" s="7"/>
      <c r="F152" s="7"/>
      <c r="G152" s="12"/>
      <c r="H152" s="12"/>
      <c r="I152" s="8"/>
      <c r="J152" s="12"/>
      <c r="K152" s="7"/>
      <c r="L152" s="13"/>
      <c r="M152" s="13"/>
      <c r="N152" s="7"/>
      <c r="O152" s="7"/>
      <c r="P152" s="8"/>
      <c r="Q152" s="8"/>
      <c r="R152" s="14"/>
      <c r="S152" s="11" t="str">
        <f aca="true">IF(R152="","",IF(TODAY()-R152&gt;14,"Обновить","Актуально"))</f>
        <v/>
      </c>
      <c r="T152" s="8"/>
    </row>
    <row r="153" customFormat="false" ht="15" hidden="false" customHeight="true" outlineLevel="0" collapsed="false">
      <c r="A153" s="11" t="str">
        <f aca="false">IF(B153="","",ROW()-2)</f>
        <v/>
      </c>
      <c r="B153" s="7"/>
      <c r="C153" s="8"/>
      <c r="D153" s="7"/>
      <c r="E153" s="7"/>
      <c r="F153" s="7"/>
      <c r="G153" s="12"/>
      <c r="H153" s="12"/>
      <c r="I153" s="8"/>
      <c r="J153" s="12"/>
      <c r="K153" s="7"/>
      <c r="L153" s="13"/>
      <c r="M153" s="13"/>
      <c r="N153" s="7"/>
      <c r="O153" s="7"/>
      <c r="P153" s="8"/>
      <c r="Q153" s="8"/>
      <c r="R153" s="14"/>
      <c r="S153" s="11" t="str">
        <f aca="true">IF(R153="","",IF(TODAY()-R153&gt;14,"Обновить","Актуально"))</f>
        <v/>
      </c>
      <c r="T153" s="8"/>
    </row>
    <row r="154" customFormat="false" ht="15" hidden="false" customHeight="true" outlineLevel="0" collapsed="false">
      <c r="A154" s="11" t="str">
        <f aca="false">IF(B154="","",ROW()-2)</f>
        <v/>
      </c>
      <c r="B154" s="7"/>
      <c r="C154" s="8"/>
      <c r="D154" s="7"/>
      <c r="E154" s="7"/>
      <c r="F154" s="7"/>
      <c r="G154" s="12"/>
      <c r="H154" s="12"/>
      <c r="I154" s="8"/>
      <c r="J154" s="12"/>
      <c r="K154" s="7"/>
      <c r="L154" s="13"/>
      <c r="M154" s="13"/>
      <c r="N154" s="7"/>
      <c r="O154" s="7"/>
      <c r="P154" s="8"/>
      <c r="Q154" s="8"/>
      <c r="R154" s="14"/>
      <c r="S154" s="11" t="str">
        <f aca="true">IF(R154="","",IF(TODAY()-R154&gt;14,"Обновить","Актуально"))</f>
        <v/>
      </c>
      <c r="T154" s="8"/>
    </row>
    <row r="155" customFormat="false" ht="15" hidden="false" customHeight="true" outlineLevel="0" collapsed="false">
      <c r="A155" s="11" t="str">
        <f aca="false">IF(B155="","",ROW()-2)</f>
        <v/>
      </c>
      <c r="B155" s="7"/>
      <c r="C155" s="8"/>
      <c r="D155" s="7"/>
      <c r="E155" s="7"/>
      <c r="F155" s="7"/>
      <c r="G155" s="12"/>
      <c r="H155" s="12"/>
      <c r="I155" s="8"/>
      <c r="J155" s="12"/>
      <c r="K155" s="7"/>
      <c r="L155" s="13"/>
      <c r="M155" s="13"/>
      <c r="N155" s="7"/>
      <c r="O155" s="7"/>
      <c r="P155" s="8"/>
      <c r="Q155" s="8"/>
      <c r="R155" s="14"/>
      <c r="S155" s="11" t="str">
        <f aca="true">IF(R155="","",IF(TODAY()-R155&gt;14,"Обновить","Актуально"))</f>
        <v/>
      </c>
      <c r="T155" s="8"/>
    </row>
    <row r="156" customFormat="false" ht="15" hidden="false" customHeight="true" outlineLevel="0" collapsed="false">
      <c r="A156" s="11" t="str">
        <f aca="false">IF(B156="","",ROW()-2)</f>
        <v/>
      </c>
      <c r="B156" s="7"/>
      <c r="C156" s="8"/>
      <c r="D156" s="7"/>
      <c r="E156" s="7"/>
      <c r="F156" s="7"/>
      <c r="G156" s="12"/>
      <c r="H156" s="12"/>
      <c r="I156" s="8"/>
      <c r="J156" s="12"/>
      <c r="K156" s="7"/>
      <c r="L156" s="13"/>
      <c r="M156" s="13"/>
      <c r="N156" s="7"/>
      <c r="O156" s="7"/>
      <c r="P156" s="8"/>
      <c r="Q156" s="8"/>
      <c r="R156" s="14"/>
      <c r="S156" s="11" t="str">
        <f aca="true">IF(R156="","",IF(TODAY()-R156&gt;14,"Обновить","Актуально"))</f>
        <v/>
      </c>
      <c r="T156" s="8"/>
    </row>
    <row r="157" customFormat="false" ht="15" hidden="false" customHeight="true" outlineLevel="0" collapsed="false">
      <c r="A157" s="11" t="str">
        <f aca="false">IF(B157="","",ROW()-2)</f>
        <v/>
      </c>
      <c r="B157" s="7"/>
      <c r="C157" s="8"/>
      <c r="D157" s="7"/>
      <c r="E157" s="7"/>
      <c r="F157" s="7"/>
      <c r="G157" s="12"/>
      <c r="H157" s="12"/>
      <c r="I157" s="8"/>
      <c r="J157" s="12"/>
      <c r="K157" s="7"/>
      <c r="L157" s="13"/>
      <c r="M157" s="13"/>
      <c r="N157" s="7"/>
      <c r="O157" s="7"/>
      <c r="P157" s="8"/>
      <c r="Q157" s="8"/>
      <c r="R157" s="14"/>
      <c r="S157" s="11" t="str">
        <f aca="true">IF(R157="","",IF(TODAY()-R157&gt;14,"Обновить","Актуально"))</f>
        <v/>
      </c>
      <c r="T157" s="8"/>
    </row>
    <row r="158" customFormat="false" ht="15" hidden="false" customHeight="true" outlineLevel="0" collapsed="false">
      <c r="A158" s="11" t="str">
        <f aca="false">IF(B158="","",ROW()-2)</f>
        <v/>
      </c>
      <c r="B158" s="7"/>
      <c r="C158" s="8"/>
      <c r="D158" s="7"/>
      <c r="E158" s="7"/>
      <c r="F158" s="7"/>
      <c r="G158" s="12"/>
      <c r="H158" s="12"/>
      <c r="I158" s="8"/>
      <c r="J158" s="12"/>
      <c r="K158" s="7"/>
      <c r="L158" s="13"/>
      <c r="M158" s="13"/>
      <c r="N158" s="7"/>
      <c r="O158" s="7"/>
      <c r="P158" s="8"/>
      <c r="Q158" s="8"/>
      <c r="R158" s="14"/>
      <c r="S158" s="11" t="str">
        <f aca="true">IF(R158="","",IF(TODAY()-R158&gt;14,"Обновить","Актуально"))</f>
        <v/>
      </c>
      <c r="T158" s="8"/>
    </row>
    <row r="159" customFormat="false" ht="15" hidden="false" customHeight="true" outlineLevel="0" collapsed="false">
      <c r="A159" s="11" t="str">
        <f aca="false">IF(B159="","",ROW()-2)</f>
        <v/>
      </c>
      <c r="B159" s="7"/>
      <c r="C159" s="8"/>
      <c r="D159" s="7"/>
      <c r="E159" s="7"/>
      <c r="F159" s="7"/>
      <c r="G159" s="12"/>
      <c r="H159" s="12"/>
      <c r="I159" s="8"/>
      <c r="J159" s="12"/>
      <c r="K159" s="7"/>
      <c r="L159" s="13"/>
      <c r="M159" s="13"/>
      <c r="N159" s="7"/>
      <c r="O159" s="7"/>
      <c r="P159" s="8"/>
      <c r="Q159" s="8"/>
      <c r="R159" s="14"/>
      <c r="S159" s="11" t="str">
        <f aca="true">IF(R159="","",IF(TODAY()-R159&gt;14,"Обновить","Актуально"))</f>
        <v/>
      </c>
      <c r="T159" s="8"/>
    </row>
    <row r="160" customFormat="false" ht="15" hidden="false" customHeight="true" outlineLevel="0" collapsed="false">
      <c r="A160" s="11" t="str">
        <f aca="false">IF(B160="","",ROW()-2)</f>
        <v/>
      </c>
      <c r="B160" s="7"/>
      <c r="C160" s="8"/>
      <c r="D160" s="7"/>
      <c r="E160" s="7"/>
      <c r="F160" s="7"/>
      <c r="G160" s="12"/>
      <c r="H160" s="12"/>
      <c r="I160" s="8"/>
      <c r="J160" s="12"/>
      <c r="K160" s="7"/>
      <c r="L160" s="13"/>
      <c r="M160" s="13"/>
      <c r="N160" s="7"/>
      <c r="O160" s="7"/>
      <c r="P160" s="8"/>
      <c r="Q160" s="8"/>
      <c r="R160" s="14"/>
      <c r="S160" s="11" t="str">
        <f aca="true">IF(R160="","",IF(TODAY()-R160&gt;14,"Обновить","Актуально"))</f>
        <v/>
      </c>
      <c r="T160" s="8"/>
    </row>
    <row r="161" customFormat="false" ht="15" hidden="false" customHeight="true" outlineLevel="0" collapsed="false">
      <c r="A161" s="11" t="str">
        <f aca="false">IF(B161="","",ROW()-2)</f>
        <v/>
      </c>
      <c r="B161" s="7"/>
      <c r="C161" s="8"/>
      <c r="D161" s="7"/>
      <c r="E161" s="7"/>
      <c r="F161" s="7"/>
      <c r="G161" s="12"/>
      <c r="H161" s="12"/>
      <c r="I161" s="8"/>
      <c r="J161" s="12"/>
      <c r="K161" s="7"/>
      <c r="L161" s="13"/>
      <c r="M161" s="13"/>
      <c r="N161" s="7"/>
      <c r="O161" s="7"/>
      <c r="P161" s="8"/>
      <c r="Q161" s="8"/>
      <c r="R161" s="14"/>
      <c r="S161" s="11" t="str">
        <f aca="true">IF(R161="","",IF(TODAY()-R161&gt;14,"Обновить","Актуально"))</f>
        <v/>
      </c>
      <c r="T161" s="8"/>
    </row>
    <row r="162" customFormat="false" ht="15" hidden="false" customHeight="true" outlineLevel="0" collapsed="false">
      <c r="A162" s="11" t="str">
        <f aca="false">IF(B162="","",ROW()-2)</f>
        <v/>
      </c>
      <c r="B162" s="7"/>
      <c r="C162" s="8"/>
      <c r="D162" s="7"/>
      <c r="E162" s="7"/>
      <c r="F162" s="7"/>
      <c r="G162" s="12"/>
      <c r="H162" s="12"/>
      <c r="I162" s="8"/>
      <c r="J162" s="12"/>
      <c r="K162" s="7"/>
      <c r="L162" s="13"/>
      <c r="M162" s="13"/>
      <c r="N162" s="7"/>
      <c r="O162" s="7"/>
      <c r="P162" s="8"/>
      <c r="Q162" s="8"/>
      <c r="R162" s="14"/>
      <c r="S162" s="11" t="str">
        <f aca="true">IF(R162="","",IF(TODAY()-R162&gt;14,"Обновить","Актуально"))</f>
        <v/>
      </c>
      <c r="T162" s="8"/>
    </row>
    <row r="163" customFormat="false" ht="15" hidden="false" customHeight="true" outlineLevel="0" collapsed="false">
      <c r="A163" s="11" t="str">
        <f aca="false">IF(B163="","",ROW()-2)</f>
        <v/>
      </c>
      <c r="B163" s="7"/>
      <c r="C163" s="8"/>
      <c r="D163" s="7"/>
      <c r="E163" s="7"/>
      <c r="F163" s="7"/>
      <c r="G163" s="12"/>
      <c r="H163" s="12"/>
      <c r="I163" s="8"/>
      <c r="J163" s="12"/>
      <c r="K163" s="7"/>
      <c r="L163" s="13"/>
      <c r="M163" s="13"/>
      <c r="N163" s="7"/>
      <c r="O163" s="7"/>
      <c r="P163" s="8"/>
      <c r="Q163" s="8"/>
      <c r="R163" s="14"/>
      <c r="S163" s="11" t="str">
        <f aca="true">IF(R163="","",IF(TODAY()-R163&gt;14,"Обновить","Актуально"))</f>
        <v/>
      </c>
      <c r="T163" s="8"/>
    </row>
    <row r="164" customFormat="false" ht="15" hidden="false" customHeight="true" outlineLevel="0" collapsed="false">
      <c r="A164" s="11" t="str">
        <f aca="false">IF(B164="","",ROW()-2)</f>
        <v/>
      </c>
      <c r="B164" s="7"/>
      <c r="C164" s="8"/>
      <c r="D164" s="7"/>
      <c r="E164" s="7"/>
      <c r="F164" s="7"/>
      <c r="G164" s="12"/>
      <c r="H164" s="12"/>
      <c r="I164" s="8"/>
      <c r="J164" s="12"/>
      <c r="K164" s="7"/>
      <c r="L164" s="13"/>
      <c r="M164" s="13"/>
      <c r="N164" s="7"/>
      <c r="O164" s="7"/>
      <c r="P164" s="8"/>
      <c r="Q164" s="8"/>
      <c r="R164" s="14"/>
      <c r="S164" s="11" t="str">
        <f aca="true">IF(R164="","",IF(TODAY()-R164&gt;14,"Обновить","Актуально"))</f>
        <v/>
      </c>
      <c r="T164" s="8"/>
    </row>
    <row r="165" customFormat="false" ht="15" hidden="false" customHeight="true" outlineLevel="0" collapsed="false">
      <c r="A165" s="11" t="str">
        <f aca="false">IF(B165="","",ROW()-2)</f>
        <v/>
      </c>
      <c r="B165" s="7"/>
      <c r="C165" s="8"/>
      <c r="D165" s="7"/>
      <c r="E165" s="7"/>
      <c r="F165" s="7"/>
      <c r="G165" s="12"/>
      <c r="H165" s="12"/>
      <c r="I165" s="8"/>
      <c r="J165" s="12"/>
      <c r="K165" s="7"/>
      <c r="L165" s="13"/>
      <c r="M165" s="13"/>
      <c r="N165" s="7"/>
      <c r="O165" s="7"/>
      <c r="P165" s="8"/>
      <c r="Q165" s="8"/>
      <c r="R165" s="14"/>
      <c r="S165" s="11" t="str">
        <f aca="true">IF(R165="","",IF(TODAY()-R165&gt;14,"Обновить","Актуально"))</f>
        <v/>
      </c>
      <c r="T165" s="8"/>
    </row>
    <row r="166" customFormat="false" ht="15" hidden="false" customHeight="true" outlineLevel="0" collapsed="false">
      <c r="A166" s="11" t="str">
        <f aca="false">IF(B166="","",ROW()-2)</f>
        <v/>
      </c>
      <c r="B166" s="7"/>
      <c r="C166" s="8"/>
      <c r="D166" s="7"/>
      <c r="E166" s="7"/>
      <c r="F166" s="7"/>
      <c r="G166" s="12"/>
      <c r="H166" s="12"/>
      <c r="I166" s="8"/>
      <c r="J166" s="12"/>
      <c r="K166" s="7"/>
      <c r="L166" s="13"/>
      <c r="M166" s="13"/>
      <c r="N166" s="7"/>
      <c r="O166" s="7"/>
      <c r="P166" s="8"/>
      <c r="Q166" s="8"/>
      <c r="R166" s="14"/>
      <c r="S166" s="11" t="str">
        <f aca="true">IF(R166="","",IF(TODAY()-R166&gt;14,"Обновить","Актуально"))</f>
        <v/>
      </c>
      <c r="T166" s="8"/>
    </row>
    <row r="167" customFormat="false" ht="15" hidden="false" customHeight="true" outlineLevel="0" collapsed="false">
      <c r="A167" s="11" t="str">
        <f aca="false">IF(B167="","",ROW()-2)</f>
        <v/>
      </c>
      <c r="B167" s="7"/>
      <c r="C167" s="8"/>
      <c r="D167" s="7"/>
      <c r="E167" s="7"/>
      <c r="F167" s="7"/>
      <c r="G167" s="12"/>
      <c r="H167" s="12"/>
      <c r="I167" s="8"/>
      <c r="J167" s="12"/>
      <c r="K167" s="7"/>
      <c r="L167" s="13"/>
      <c r="M167" s="13"/>
      <c r="N167" s="7"/>
      <c r="O167" s="7"/>
      <c r="P167" s="8"/>
      <c r="Q167" s="8"/>
      <c r="R167" s="14"/>
      <c r="S167" s="11" t="str">
        <f aca="true">IF(R167="","",IF(TODAY()-R167&gt;14,"Обновить","Актуально"))</f>
        <v/>
      </c>
      <c r="T167" s="8"/>
    </row>
    <row r="168" customFormat="false" ht="15" hidden="false" customHeight="true" outlineLevel="0" collapsed="false">
      <c r="A168" s="11" t="str">
        <f aca="false">IF(B168="","",ROW()-2)</f>
        <v/>
      </c>
      <c r="B168" s="7"/>
      <c r="C168" s="8"/>
      <c r="D168" s="7"/>
      <c r="E168" s="7"/>
      <c r="F168" s="7"/>
      <c r="G168" s="12"/>
      <c r="H168" s="12"/>
      <c r="I168" s="8"/>
      <c r="J168" s="12"/>
      <c r="K168" s="7"/>
      <c r="L168" s="13"/>
      <c r="M168" s="13"/>
      <c r="N168" s="7"/>
      <c r="O168" s="7"/>
      <c r="P168" s="8"/>
      <c r="Q168" s="8"/>
      <c r="R168" s="14"/>
      <c r="S168" s="11" t="str">
        <f aca="true">IF(R168="","",IF(TODAY()-R168&gt;14,"Обновить","Актуально"))</f>
        <v/>
      </c>
      <c r="T168" s="8"/>
    </row>
    <row r="169" customFormat="false" ht="15" hidden="false" customHeight="true" outlineLevel="0" collapsed="false">
      <c r="A169" s="11" t="str">
        <f aca="false">IF(B169="","",ROW()-2)</f>
        <v/>
      </c>
      <c r="B169" s="7"/>
      <c r="C169" s="8"/>
      <c r="D169" s="7"/>
      <c r="E169" s="7"/>
      <c r="F169" s="7"/>
      <c r="G169" s="12"/>
      <c r="H169" s="12"/>
      <c r="I169" s="8"/>
      <c r="J169" s="12"/>
      <c r="K169" s="7"/>
      <c r="L169" s="13"/>
      <c r="M169" s="13"/>
      <c r="N169" s="7"/>
      <c r="O169" s="7"/>
      <c r="P169" s="8"/>
      <c r="Q169" s="8"/>
      <c r="R169" s="14"/>
      <c r="S169" s="11" t="str">
        <f aca="true">IF(R169="","",IF(TODAY()-R169&gt;14,"Обновить","Актуально"))</f>
        <v/>
      </c>
      <c r="T169" s="8"/>
    </row>
    <row r="170" customFormat="false" ht="15" hidden="false" customHeight="true" outlineLevel="0" collapsed="false">
      <c r="A170" s="11" t="str">
        <f aca="false">IF(B170="","",ROW()-2)</f>
        <v/>
      </c>
      <c r="B170" s="7"/>
      <c r="C170" s="8"/>
      <c r="D170" s="7"/>
      <c r="E170" s="7"/>
      <c r="F170" s="7"/>
      <c r="G170" s="12"/>
      <c r="H170" s="12"/>
      <c r="I170" s="8"/>
      <c r="J170" s="12"/>
      <c r="K170" s="7"/>
      <c r="L170" s="13"/>
      <c r="M170" s="13"/>
      <c r="N170" s="7"/>
      <c r="O170" s="7"/>
      <c r="P170" s="8"/>
      <c r="Q170" s="8"/>
      <c r="R170" s="14"/>
      <c r="S170" s="11" t="str">
        <f aca="true">IF(R170="","",IF(TODAY()-R170&gt;14,"Обновить","Актуально"))</f>
        <v/>
      </c>
      <c r="T170" s="8"/>
    </row>
    <row r="171" customFormat="false" ht="15" hidden="false" customHeight="true" outlineLevel="0" collapsed="false">
      <c r="A171" s="11" t="str">
        <f aca="false">IF(B171="","",ROW()-2)</f>
        <v/>
      </c>
      <c r="B171" s="7"/>
      <c r="C171" s="8"/>
      <c r="D171" s="7"/>
      <c r="E171" s="7"/>
      <c r="F171" s="7"/>
      <c r="G171" s="12"/>
      <c r="H171" s="12"/>
      <c r="I171" s="8"/>
      <c r="J171" s="12"/>
      <c r="K171" s="7"/>
      <c r="L171" s="13"/>
      <c r="M171" s="13"/>
      <c r="N171" s="7"/>
      <c r="O171" s="7"/>
      <c r="P171" s="8"/>
      <c r="Q171" s="8"/>
      <c r="R171" s="14"/>
      <c r="S171" s="11" t="str">
        <f aca="true">IF(R171="","",IF(TODAY()-R171&gt;14,"Обновить","Актуально"))</f>
        <v/>
      </c>
      <c r="T171" s="8"/>
    </row>
    <row r="172" customFormat="false" ht="15" hidden="false" customHeight="true" outlineLevel="0" collapsed="false">
      <c r="A172" s="11" t="str">
        <f aca="false">IF(B172="","",ROW()-2)</f>
        <v/>
      </c>
      <c r="B172" s="7"/>
      <c r="C172" s="8"/>
      <c r="D172" s="7"/>
      <c r="E172" s="7"/>
      <c r="F172" s="7"/>
      <c r="G172" s="12"/>
      <c r="H172" s="12"/>
      <c r="I172" s="8"/>
      <c r="J172" s="12"/>
      <c r="K172" s="7"/>
      <c r="L172" s="13"/>
      <c r="M172" s="13"/>
      <c r="N172" s="7"/>
      <c r="O172" s="7"/>
      <c r="P172" s="8"/>
      <c r="Q172" s="8"/>
      <c r="R172" s="14"/>
      <c r="S172" s="11" t="str">
        <f aca="true">IF(R172="","",IF(TODAY()-R172&gt;14,"Обновить","Актуально"))</f>
        <v/>
      </c>
      <c r="T172" s="8"/>
    </row>
    <row r="173" customFormat="false" ht="15" hidden="false" customHeight="true" outlineLevel="0" collapsed="false">
      <c r="A173" s="11" t="str">
        <f aca="false">IF(B173="","",ROW()-2)</f>
        <v/>
      </c>
      <c r="B173" s="7"/>
      <c r="C173" s="8"/>
      <c r="D173" s="7"/>
      <c r="E173" s="7"/>
      <c r="F173" s="7"/>
      <c r="G173" s="12"/>
      <c r="H173" s="12"/>
      <c r="I173" s="8"/>
      <c r="J173" s="12"/>
      <c r="K173" s="7"/>
      <c r="L173" s="13"/>
      <c r="M173" s="13"/>
      <c r="N173" s="7"/>
      <c r="O173" s="7"/>
      <c r="P173" s="8"/>
      <c r="Q173" s="8"/>
      <c r="R173" s="14"/>
      <c r="S173" s="11" t="str">
        <f aca="true">IF(R173="","",IF(TODAY()-R173&gt;14,"Обновить","Актуально"))</f>
        <v/>
      </c>
      <c r="T173" s="8"/>
    </row>
    <row r="174" customFormat="false" ht="15" hidden="false" customHeight="true" outlineLevel="0" collapsed="false">
      <c r="A174" s="11" t="str">
        <f aca="false">IF(B174="","",ROW()-2)</f>
        <v/>
      </c>
      <c r="B174" s="7"/>
      <c r="C174" s="8"/>
      <c r="D174" s="7"/>
      <c r="E174" s="7"/>
      <c r="F174" s="7"/>
      <c r="G174" s="12"/>
      <c r="H174" s="12"/>
      <c r="I174" s="8"/>
      <c r="J174" s="12"/>
      <c r="K174" s="7"/>
      <c r="L174" s="13"/>
      <c r="M174" s="13"/>
      <c r="N174" s="7"/>
      <c r="O174" s="7"/>
      <c r="P174" s="8"/>
      <c r="Q174" s="8"/>
      <c r="R174" s="14"/>
      <c r="S174" s="11" t="str">
        <f aca="true">IF(R174="","",IF(TODAY()-R174&gt;14,"Обновить","Актуально"))</f>
        <v/>
      </c>
      <c r="T174" s="8"/>
    </row>
    <row r="175" customFormat="false" ht="15" hidden="false" customHeight="true" outlineLevel="0" collapsed="false">
      <c r="A175" s="11" t="str">
        <f aca="false">IF(B175="","",ROW()-2)</f>
        <v/>
      </c>
      <c r="B175" s="7"/>
      <c r="C175" s="8"/>
      <c r="D175" s="7"/>
      <c r="E175" s="7"/>
      <c r="F175" s="7"/>
      <c r="G175" s="12"/>
      <c r="H175" s="12"/>
      <c r="I175" s="8"/>
      <c r="J175" s="12"/>
      <c r="K175" s="7"/>
      <c r="L175" s="13"/>
      <c r="M175" s="13"/>
      <c r="N175" s="7"/>
      <c r="O175" s="7"/>
      <c r="P175" s="8"/>
      <c r="Q175" s="8"/>
      <c r="R175" s="14"/>
      <c r="S175" s="11" t="str">
        <f aca="true">IF(R175="","",IF(TODAY()-R175&gt;14,"Обновить","Актуально"))</f>
        <v/>
      </c>
      <c r="T175" s="8"/>
    </row>
    <row r="176" customFormat="false" ht="15" hidden="false" customHeight="true" outlineLevel="0" collapsed="false">
      <c r="A176" s="11" t="str">
        <f aca="false">IF(B176="","",ROW()-2)</f>
        <v/>
      </c>
      <c r="B176" s="7"/>
      <c r="C176" s="8"/>
      <c r="D176" s="7"/>
      <c r="E176" s="7"/>
      <c r="F176" s="7"/>
      <c r="G176" s="12"/>
      <c r="H176" s="12"/>
      <c r="I176" s="8"/>
      <c r="J176" s="12"/>
      <c r="K176" s="7"/>
      <c r="L176" s="13"/>
      <c r="M176" s="13"/>
      <c r="N176" s="7"/>
      <c r="O176" s="7"/>
      <c r="P176" s="8"/>
      <c r="Q176" s="8"/>
      <c r="R176" s="14"/>
      <c r="S176" s="11" t="str">
        <f aca="true">IF(R176="","",IF(TODAY()-R176&gt;14,"Обновить","Актуально"))</f>
        <v/>
      </c>
      <c r="T176" s="8"/>
    </row>
    <row r="177" customFormat="false" ht="15" hidden="false" customHeight="true" outlineLevel="0" collapsed="false">
      <c r="A177" s="11" t="str">
        <f aca="false">IF(B177="","",ROW()-2)</f>
        <v/>
      </c>
      <c r="B177" s="7"/>
      <c r="C177" s="8"/>
      <c r="D177" s="7"/>
      <c r="E177" s="7"/>
      <c r="F177" s="7"/>
      <c r="G177" s="12"/>
      <c r="H177" s="12"/>
      <c r="I177" s="8"/>
      <c r="J177" s="12"/>
      <c r="K177" s="7"/>
      <c r="L177" s="13"/>
      <c r="M177" s="13"/>
      <c r="N177" s="7"/>
      <c r="O177" s="7"/>
      <c r="P177" s="8"/>
      <c r="Q177" s="8"/>
      <c r="R177" s="14"/>
      <c r="S177" s="11" t="str">
        <f aca="true">IF(R177="","",IF(TODAY()-R177&gt;14,"Обновить","Актуально"))</f>
        <v/>
      </c>
      <c r="T177" s="8"/>
    </row>
    <row r="178" customFormat="false" ht="15" hidden="false" customHeight="true" outlineLevel="0" collapsed="false">
      <c r="A178" s="11" t="str">
        <f aca="false">IF(B178="","",ROW()-2)</f>
        <v/>
      </c>
      <c r="B178" s="7"/>
      <c r="C178" s="8"/>
      <c r="D178" s="7"/>
      <c r="E178" s="7"/>
      <c r="F178" s="7"/>
      <c r="G178" s="12"/>
      <c r="H178" s="12"/>
      <c r="I178" s="8"/>
      <c r="J178" s="12"/>
      <c r="K178" s="7"/>
      <c r="L178" s="13"/>
      <c r="M178" s="13"/>
      <c r="N178" s="7"/>
      <c r="O178" s="7"/>
      <c r="P178" s="8"/>
      <c r="Q178" s="8"/>
      <c r="R178" s="14"/>
      <c r="S178" s="11" t="str">
        <f aca="true">IF(R178="","",IF(TODAY()-R178&gt;14,"Обновить","Актуально"))</f>
        <v/>
      </c>
      <c r="T178" s="8"/>
    </row>
    <row r="179" customFormat="false" ht="15" hidden="false" customHeight="true" outlineLevel="0" collapsed="false">
      <c r="A179" s="11" t="str">
        <f aca="false">IF(B179="","",ROW()-2)</f>
        <v/>
      </c>
      <c r="B179" s="7"/>
      <c r="C179" s="8"/>
      <c r="D179" s="7"/>
      <c r="E179" s="7"/>
      <c r="F179" s="7"/>
      <c r="G179" s="12"/>
      <c r="H179" s="12"/>
      <c r="I179" s="8"/>
      <c r="J179" s="12"/>
      <c r="K179" s="7"/>
      <c r="L179" s="13"/>
      <c r="M179" s="13"/>
      <c r="N179" s="7"/>
      <c r="O179" s="7"/>
      <c r="P179" s="8"/>
      <c r="Q179" s="8"/>
      <c r="R179" s="14"/>
      <c r="S179" s="11" t="str">
        <f aca="true">IF(R179="","",IF(TODAY()-R179&gt;14,"Обновить","Актуально"))</f>
        <v/>
      </c>
      <c r="T179" s="8"/>
    </row>
    <row r="180" customFormat="false" ht="15" hidden="false" customHeight="true" outlineLevel="0" collapsed="false">
      <c r="A180" s="11" t="str">
        <f aca="false">IF(B180="","",ROW()-2)</f>
        <v/>
      </c>
      <c r="B180" s="7"/>
      <c r="C180" s="8"/>
      <c r="D180" s="7"/>
      <c r="E180" s="7"/>
      <c r="F180" s="7"/>
      <c r="G180" s="12"/>
      <c r="H180" s="12"/>
      <c r="I180" s="8"/>
      <c r="J180" s="12"/>
      <c r="K180" s="7"/>
      <c r="L180" s="13"/>
      <c r="M180" s="13"/>
      <c r="N180" s="7"/>
      <c r="O180" s="7"/>
      <c r="P180" s="8"/>
      <c r="Q180" s="8"/>
      <c r="R180" s="14"/>
      <c r="S180" s="11" t="str">
        <f aca="true">IF(R180="","",IF(TODAY()-R180&gt;14,"Обновить","Актуально"))</f>
        <v/>
      </c>
      <c r="T180" s="8"/>
    </row>
    <row r="181" customFormat="false" ht="15" hidden="false" customHeight="true" outlineLevel="0" collapsed="false">
      <c r="A181" s="11" t="str">
        <f aca="false">IF(B181="","",ROW()-2)</f>
        <v/>
      </c>
      <c r="B181" s="7"/>
      <c r="C181" s="8"/>
      <c r="D181" s="7"/>
      <c r="E181" s="7"/>
      <c r="F181" s="7"/>
      <c r="G181" s="12"/>
      <c r="H181" s="12"/>
      <c r="I181" s="8"/>
      <c r="J181" s="12"/>
      <c r="K181" s="7"/>
      <c r="L181" s="13"/>
      <c r="M181" s="13"/>
      <c r="N181" s="7"/>
      <c r="O181" s="7"/>
      <c r="P181" s="8"/>
      <c r="Q181" s="8"/>
      <c r="R181" s="14"/>
      <c r="S181" s="11" t="str">
        <f aca="true">IF(R181="","",IF(TODAY()-R181&gt;14,"Обновить","Актуально"))</f>
        <v/>
      </c>
      <c r="T181" s="8"/>
    </row>
    <row r="182" customFormat="false" ht="15" hidden="false" customHeight="true" outlineLevel="0" collapsed="false">
      <c r="A182" s="11" t="str">
        <f aca="false">IF(B182="","",ROW()-2)</f>
        <v/>
      </c>
      <c r="B182" s="7"/>
      <c r="C182" s="8"/>
      <c r="D182" s="7"/>
      <c r="E182" s="7"/>
      <c r="F182" s="7"/>
      <c r="G182" s="12"/>
      <c r="H182" s="12"/>
      <c r="I182" s="8"/>
      <c r="J182" s="12"/>
      <c r="K182" s="7"/>
      <c r="L182" s="13"/>
      <c r="M182" s="13"/>
      <c r="N182" s="7"/>
      <c r="O182" s="7"/>
      <c r="P182" s="8"/>
      <c r="Q182" s="8"/>
      <c r="R182" s="14"/>
      <c r="S182" s="11" t="str">
        <f aca="true">IF(R182="","",IF(TODAY()-R182&gt;14,"Обновить","Актуально"))</f>
        <v/>
      </c>
      <c r="T182" s="8"/>
    </row>
    <row r="183" customFormat="false" ht="15" hidden="false" customHeight="true" outlineLevel="0" collapsed="false">
      <c r="A183" s="11" t="str">
        <f aca="false">IF(B183="","",ROW()-2)</f>
        <v/>
      </c>
      <c r="B183" s="7"/>
      <c r="C183" s="8"/>
      <c r="D183" s="7"/>
      <c r="E183" s="7"/>
      <c r="F183" s="7"/>
      <c r="G183" s="12"/>
      <c r="H183" s="12"/>
      <c r="I183" s="8"/>
      <c r="J183" s="12"/>
      <c r="K183" s="7"/>
      <c r="L183" s="13"/>
      <c r="M183" s="13"/>
      <c r="N183" s="7"/>
      <c r="O183" s="7"/>
      <c r="P183" s="8"/>
      <c r="Q183" s="8"/>
      <c r="R183" s="14"/>
      <c r="S183" s="11" t="str">
        <f aca="true">IF(R183="","",IF(TODAY()-R183&gt;14,"Обновить","Актуально"))</f>
        <v/>
      </c>
      <c r="T183" s="8"/>
    </row>
    <row r="184" customFormat="false" ht="15" hidden="false" customHeight="true" outlineLevel="0" collapsed="false">
      <c r="A184" s="11" t="str">
        <f aca="false">IF(B184="","",ROW()-2)</f>
        <v/>
      </c>
      <c r="B184" s="7"/>
      <c r="C184" s="8"/>
      <c r="D184" s="7"/>
      <c r="E184" s="7"/>
      <c r="F184" s="7"/>
      <c r="G184" s="12"/>
      <c r="H184" s="12"/>
      <c r="I184" s="8"/>
      <c r="J184" s="12"/>
      <c r="K184" s="7"/>
      <c r="L184" s="13"/>
      <c r="M184" s="13"/>
      <c r="N184" s="7"/>
      <c r="O184" s="7"/>
      <c r="P184" s="8"/>
      <c r="Q184" s="8"/>
      <c r="R184" s="14"/>
      <c r="S184" s="11" t="str">
        <f aca="true">IF(R184="","",IF(TODAY()-R184&gt;14,"Обновить","Актуально"))</f>
        <v/>
      </c>
      <c r="T184" s="8"/>
    </row>
    <row r="185" customFormat="false" ht="15" hidden="false" customHeight="true" outlineLevel="0" collapsed="false">
      <c r="A185" s="11" t="str">
        <f aca="false">IF(B185="","",ROW()-2)</f>
        <v/>
      </c>
      <c r="B185" s="7"/>
      <c r="C185" s="8"/>
      <c r="D185" s="7"/>
      <c r="E185" s="7"/>
      <c r="F185" s="7"/>
      <c r="G185" s="12"/>
      <c r="H185" s="12"/>
      <c r="I185" s="8"/>
      <c r="J185" s="12"/>
      <c r="K185" s="7"/>
      <c r="L185" s="13"/>
      <c r="M185" s="13"/>
      <c r="N185" s="7"/>
      <c r="O185" s="7"/>
      <c r="P185" s="8"/>
      <c r="Q185" s="8"/>
      <c r="R185" s="14"/>
      <c r="S185" s="11" t="str">
        <f aca="true">IF(R185="","",IF(TODAY()-R185&gt;14,"Обновить","Актуально"))</f>
        <v/>
      </c>
      <c r="T185" s="8"/>
    </row>
    <row r="186" customFormat="false" ht="15" hidden="false" customHeight="true" outlineLevel="0" collapsed="false">
      <c r="A186" s="11" t="str">
        <f aca="false">IF(B186="","",ROW()-2)</f>
        <v/>
      </c>
      <c r="B186" s="7"/>
      <c r="C186" s="8"/>
      <c r="D186" s="7"/>
      <c r="E186" s="7"/>
      <c r="F186" s="7"/>
      <c r="G186" s="12"/>
      <c r="H186" s="12"/>
      <c r="I186" s="8"/>
      <c r="J186" s="12"/>
      <c r="K186" s="7"/>
      <c r="L186" s="13"/>
      <c r="M186" s="13"/>
      <c r="N186" s="7"/>
      <c r="O186" s="7"/>
      <c r="P186" s="8"/>
      <c r="Q186" s="8"/>
      <c r="R186" s="14"/>
      <c r="S186" s="11" t="str">
        <f aca="true">IF(R186="","",IF(TODAY()-R186&gt;14,"Обновить","Актуально"))</f>
        <v/>
      </c>
      <c r="T186" s="8"/>
    </row>
    <row r="187" customFormat="false" ht="15" hidden="false" customHeight="true" outlineLevel="0" collapsed="false">
      <c r="A187" s="11" t="str">
        <f aca="false">IF(B187="","",ROW()-2)</f>
        <v/>
      </c>
      <c r="B187" s="7"/>
      <c r="C187" s="8"/>
      <c r="D187" s="7"/>
      <c r="E187" s="7"/>
      <c r="F187" s="7"/>
      <c r="G187" s="12"/>
      <c r="H187" s="12"/>
      <c r="I187" s="8"/>
      <c r="J187" s="12"/>
      <c r="K187" s="7"/>
      <c r="L187" s="13"/>
      <c r="M187" s="13"/>
      <c r="N187" s="7"/>
      <c r="O187" s="7"/>
      <c r="P187" s="8"/>
      <c r="Q187" s="8"/>
      <c r="R187" s="14"/>
      <c r="S187" s="11" t="str">
        <f aca="true">IF(R187="","",IF(TODAY()-R187&gt;14,"Обновить","Актуально"))</f>
        <v/>
      </c>
      <c r="T187" s="8"/>
    </row>
    <row r="188" customFormat="false" ht="15" hidden="false" customHeight="true" outlineLevel="0" collapsed="false">
      <c r="A188" s="11" t="str">
        <f aca="false">IF(B188="","",ROW()-2)</f>
        <v/>
      </c>
      <c r="B188" s="7"/>
      <c r="C188" s="8"/>
      <c r="D188" s="7"/>
      <c r="E188" s="7"/>
      <c r="F188" s="7"/>
      <c r="G188" s="12"/>
      <c r="H188" s="12"/>
      <c r="I188" s="8"/>
      <c r="J188" s="12"/>
      <c r="K188" s="7"/>
      <c r="L188" s="13"/>
      <c r="M188" s="13"/>
      <c r="N188" s="7"/>
      <c r="O188" s="7"/>
      <c r="P188" s="8"/>
      <c r="Q188" s="8"/>
      <c r="R188" s="14"/>
      <c r="S188" s="11" t="str">
        <f aca="true">IF(R188="","",IF(TODAY()-R188&gt;14,"Обновить","Актуально"))</f>
        <v/>
      </c>
      <c r="T188" s="8"/>
    </row>
    <row r="189" customFormat="false" ht="15" hidden="false" customHeight="true" outlineLevel="0" collapsed="false">
      <c r="A189" s="11" t="str">
        <f aca="false">IF(B189="","",ROW()-2)</f>
        <v/>
      </c>
      <c r="B189" s="7"/>
      <c r="C189" s="8"/>
      <c r="D189" s="7"/>
      <c r="E189" s="7"/>
      <c r="F189" s="7"/>
      <c r="G189" s="12"/>
      <c r="H189" s="12"/>
      <c r="I189" s="8"/>
      <c r="J189" s="12"/>
      <c r="K189" s="7"/>
      <c r="L189" s="13"/>
      <c r="M189" s="13"/>
      <c r="N189" s="7"/>
      <c r="O189" s="7"/>
      <c r="P189" s="8"/>
      <c r="Q189" s="8"/>
      <c r="R189" s="14"/>
      <c r="S189" s="11" t="str">
        <f aca="true">IF(R189="","",IF(TODAY()-R189&gt;14,"Обновить","Актуально"))</f>
        <v/>
      </c>
      <c r="T189" s="8"/>
    </row>
    <row r="190" customFormat="false" ht="15" hidden="false" customHeight="true" outlineLevel="0" collapsed="false">
      <c r="A190" s="11" t="str">
        <f aca="false">IF(B190="","",ROW()-2)</f>
        <v/>
      </c>
      <c r="B190" s="7"/>
      <c r="C190" s="8"/>
      <c r="D190" s="7"/>
      <c r="E190" s="7"/>
      <c r="F190" s="7"/>
      <c r="G190" s="12"/>
      <c r="H190" s="12"/>
      <c r="I190" s="8"/>
      <c r="J190" s="12"/>
      <c r="K190" s="7"/>
      <c r="L190" s="13"/>
      <c r="M190" s="13"/>
      <c r="N190" s="7"/>
      <c r="O190" s="7"/>
      <c r="P190" s="8"/>
      <c r="Q190" s="8"/>
      <c r="R190" s="14"/>
      <c r="S190" s="11" t="str">
        <f aca="true">IF(R190="","",IF(TODAY()-R190&gt;14,"Обновить","Актуально"))</f>
        <v/>
      </c>
      <c r="T190" s="8"/>
    </row>
    <row r="191" customFormat="false" ht="15" hidden="false" customHeight="true" outlineLevel="0" collapsed="false">
      <c r="A191" s="11" t="str">
        <f aca="false">IF(B191="","",ROW()-2)</f>
        <v/>
      </c>
      <c r="B191" s="7"/>
      <c r="C191" s="8"/>
      <c r="D191" s="7"/>
      <c r="E191" s="7"/>
      <c r="F191" s="7"/>
      <c r="G191" s="12"/>
      <c r="H191" s="12"/>
      <c r="I191" s="8"/>
      <c r="J191" s="12"/>
      <c r="K191" s="7"/>
      <c r="L191" s="13"/>
      <c r="M191" s="13"/>
      <c r="N191" s="7"/>
      <c r="O191" s="7"/>
      <c r="P191" s="8"/>
      <c r="Q191" s="8"/>
      <c r="R191" s="14"/>
      <c r="S191" s="11" t="str">
        <f aca="true">IF(R191="","",IF(TODAY()-R191&gt;14,"Обновить","Актуально"))</f>
        <v/>
      </c>
      <c r="T191" s="8"/>
    </row>
    <row r="192" customFormat="false" ht="15" hidden="false" customHeight="true" outlineLevel="0" collapsed="false">
      <c r="A192" s="11" t="str">
        <f aca="false">IF(B192="","",ROW()-2)</f>
        <v/>
      </c>
      <c r="B192" s="7"/>
      <c r="C192" s="8"/>
      <c r="D192" s="7"/>
      <c r="E192" s="7"/>
      <c r="F192" s="7"/>
      <c r="G192" s="12"/>
      <c r="H192" s="12"/>
      <c r="I192" s="8"/>
      <c r="J192" s="12"/>
      <c r="K192" s="7"/>
      <c r="L192" s="13"/>
      <c r="M192" s="13"/>
      <c r="N192" s="7"/>
      <c r="O192" s="7"/>
      <c r="P192" s="8"/>
      <c r="Q192" s="8"/>
      <c r="R192" s="14"/>
      <c r="S192" s="11" t="str">
        <f aca="true">IF(R192="","",IF(TODAY()-R192&gt;14,"Обновить","Актуально"))</f>
        <v/>
      </c>
      <c r="T192" s="8"/>
    </row>
    <row r="193" customFormat="false" ht="15" hidden="false" customHeight="true" outlineLevel="0" collapsed="false">
      <c r="A193" s="11" t="str">
        <f aca="false">IF(B193="","",ROW()-2)</f>
        <v/>
      </c>
      <c r="B193" s="7"/>
      <c r="C193" s="8"/>
      <c r="D193" s="7"/>
      <c r="E193" s="7"/>
      <c r="F193" s="7"/>
      <c r="G193" s="12"/>
      <c r="H193" s="12"/>
      <c r="I193" s="8"/>
      <c r="J193" s="12"/>
      <c r="K193" s="7"/>
      <c r="L193" s="13"/>
      <c r="M193" s="13"/>
      <c r="N193" s="7"/>
      <c r="O193" s="7"/>
      <c r="P193" s="8"/>
      <c r="Q193" s="8"/>
      <c r="R193" s="14"/>
      <c r="S193" s="11" t="str">
        <f aca="true">IF(R193="","",IF(TODAY()-R193&gt;14,"Обновить","Актуально"))</f>
        <v/>
      </c>
      <c r="T193" s="8"/>
    </row>
    <row r="194" customFormat="false" ht="15" hidden="false" customHeight="true" outlineLevel="0" collapsed="false">
      <c r="A194" s="11" t="str">
        <f aca="false">IF(B194="","",ROW()-2)</f>
        <v/>
      </c>
      <c r="B194" s="7"/>
      <c r="C194" s="8"/>
      <c r="D194" s="7"/>
      <c r="E194" s="7"/>
      <c r="F194" s="7"/>
      <c r="G194" s="12"/>
      <c r="H194" s="12"/>
      <c r="I194" s="8"/>
      <c r="J194" s="12"/>
      <c r="K194" s="7"/>
      <c r="L194" s="13"/>
      <c r="M194" s="13"/>
      <c r="N194" s="7"/>
      <c r="O194" s="7"/>
      <c r="P194" s="8"/>
      <c r="Q194" s="8"/>
      <c r="R194" s="14"/>
      <c r="S194" s="11" t="str">
        <f aca="true">IF(R194="","",IF(TODAY()-R194&gt;14,"Обновить","Актуально"))</f>
        <v/>
      </c>
      <c r="T194" s="8"/>
    </row>
    <row r="195" customFormat="false" ht="15" hidden="false" customHeight="true" outlineLevel="0" collapsed="false">
      <c r="A195" s="11" t="str">
        <f aca="false">IF(B195="","",ROW()-2)</f>
        <v/>
      </c>
      <c r="B195" s="7"/>
      <c r="C195" s="8"/>
      <c r="D195" s="7"/>
      <c r="E195" s="7"/>
      <c r="F195" s="7"/>
      <c r="G195" s="12"/>
      <c r="H195" s="12"/>
      <c r="I195" s="8"/>
      <c r="J195" s="12"/>
      <c r="K195" s="7"/>
      <c r="L195" s="13"/>
      <c r="M195" s="13"/>
      <c r="N195" s="7"/>
      <c r="O195" s="7"/>
      <c r="P195" s="8"/>
      <c r="Q195" s="8"/>
      <c r="R195" s="14"/>
      <c r="S195" s="11" t="str">
        <f aca="true">IF(R195="","",IF(TODAY()-R195&gt;14,"Обновить","Актуально"))</f>
        <v/>
      </c>
      <c r="T195" s="8"/>
    </row>
    <row r="196" customFormat="false" ht="15" hidden="false" customHeight="true" outlineLevel="0" collapsed="false">
      <c r="A196" s="11" t="str">
        <f aca="false">IF(B196="","",ROW()-2)</f>
        <v/>
      </c>
      <c r="B196" s="7"/>
      <c r="C196" s="8"/>
      <c r="D196" s="7"/>
      <c r="E196" s="7"/>
      <c r="F196" s="7"/>
      <c r="G196" s="12"/>
      <c r="H196" s="12"/>
      <c r="I196" s="8"/>
      <c r="J196" s="12"/>
      <c r="K196" s="7"/>
      <c r="L196" s="13"/>
      <c r="M196" s="13"/>
      <c r="N196" s="7"/>
      <c r="O196" s="7"/>
      <c r="P196" s="8"/>
      <c r="Q196" s="8"/>
      <c r="R196" s="14"/>
      <c r="S196" s="11" t="str">
        <f aca="true">IF(R196="","",IF(TODAY()-R196&gt;14,"Обновить","Актуально"))</f>
        <v/>
      </c>
      <c r="T196" s="8"/>
    </row>
    <row r="197" customFormat="false" ht="15" hidden="false" customHeight="true" outlineLevel="0" collapsed="false">
      <c r="A197" s="11" t="str">
        <f aca="false">IF(B197="","",ROW()-2)</f>
        <v/>
      </c>
      <c r="B197" s="7"/>
      <c r="C197" s="8"/>
      <c r="D197" s="7"/>
      <c r="E197" s="7"/>
      <c r="F197" s="7"/>
      <c r="G197" s="12"/>
      <c r="H197" s="12"/>
      <c r="I197" s="8"/>
      <c r="J197" s="12"/>
      <c r="K197" s="7"/>
      <c r="L197" s="13"/>
      <c r="M197" s="13"/>
      <c r="N197" s="7"/>
      <c r="O197" s="7"/>
      <c r="P197" s="8"/>
      <c r="Q197" s="8"/>
      <c r="R197" s="14"/>
      <c r="S197" s="11" t="str">
        <f aca="true">IF(R197="","",IF(TODAY()-R197&gt;14,"Обновить","Актуально"))</f>
        <v/>
      </c>
      <c r="T197" s="8"/>
    </row>
    <row r="198" customFormat="false" ht="15" hidden="false" customHeight="true" outlineLevel="0" collapsed="false">
      <c r="A198" s="11" t="str">
        <f aca="false">IF(B198="","",ROW()-2)</f>
        <v/>
      </c>
      <c r="B198" s="7"/>
      <c r="C198" s="8"/>
      <c r="D198" s="7"/>
      <c r="E198" s="7"/>
      <c r="F198" s="7"/>
      <c r="G198" s="12"/>
      <c r="H198" s="12"/>
      <c r="I198" s="8"/>
      <c r="J198" s="12"/>
      <c r="K198" s="7"/>
      <c r="L198" s="13"/>
      <c r="M198" s="13"/>
      <c r="N198" s="7"/>
      <c r="O198" s="7"/>
      <c r="P198" s="8"/>
      <c r="Q198" s="8"/>
      <c r="R198" s="14"/>
      <c r="S198" s="11" t="str">
        <f aca="true">IF(R198="","",IF(TODAY()-R198&gt;14,"Обновить","Актуально"))</f>
        <v/>
      </c>
      <c r="T198" s="8"/>
    </row>
    <row r="199" customFormat="false" ht="15" hidden="false" customHeight="true" outlineLevel="0" collapsed="false">
      <c r="A199" s="11" t="str">
        <f aca="false">IF(B199="","",ROW()-2)</f>
        <v/>
      </c>
      <c r="B199" s="7"/>
      <c r="C199" s="8"/>
      <c r="D199" s="7"/>
      <c r="E199" s="7"/>
      <c r="F199" s="7"/>
      <c r="G199" s="12"/>
      <c r="H199" s="12"/>
      <c r="I199" s="8"/>
      <c r="J199" s="12"/>
      <c r="K199" s="7"/>
      <c r="L199" s="13"/>
      <c r="M199" s="13"/>
      <c r="N199" s="7"/>
      <c r="O199" s="7"/>
      <c r="P199" s="8"/>
      <c r="Q199" s="8"/>
      <c r="R199" s="14"/>
      <c r="S199" s="11" t="str">
        <f aca="true">IF(R199="","",IF(TODAY()-R199&gt;14,"Обновить","Актуально"))</f>
        <v/>
      </c>
      <c r="T199" s="8"/>
    </row>
    <row r="200" customFormat="false" ht="15" hidden="false" customHeight="true" outlineLevel="0" collapsed="false">
      <c r="A200" s="11" t="str">
        <f aca="false">IF(B200="","",ROW()-2)</f>
        <v/>
      </c>
      <c r="B200" s="7"/>
      <c r="C200" s="8"/>
      <c r="D200" s="7"/>
      <c r="E200" s="7"/>
      <c r="F200" s="7"/>
      <c r="G200" s="12"/>
      <c r="H200" s="12"/>
      <c r="I200" s="8"/>
      <c r="J200" s="12"/>
      <c r="K200" s="7"/>
      <c r="L200" s="13"/>
      <c r="M200" s="13"/>
      <c r="N200" s="7"/>
      <c r="O200" s="7"/>
      <c r="P200" s="8"/>
      <c r="Q200" s="8"/>
      <c r="R200" s="14"/>
      <c r="S200" s="11" t="str">
        <f aca="true">IF(R200="","",IF(TODAY()-R200&gt;14,"Обновить","Актуально"))</f>
        <v/>
      </c>
      <c r="T200" s="8"/>
    </row>
    <row r="201" customFormat="false" ht="15" hidden="false" customHeight="true" outlineLevel="0" collapsed="false">
      <c r="A201" s="11" t="str">
        <f aca="false">IF(B201="","",ROW()-2)</f>
        <v/>
      </c>
      <c r="B201" s="7"/>
      <c r="C201" s="8"/>
      <c r="D201" s="7"/>
      <c r="E201" s="7"/>
      <c r="F201" s="7"/>
      <c r="G201" s="12"/>
      <c r="H201" s="12"/>
      <c r="I201" s="8"/>
      <c r="J201" s="12"/>
      <c r="K201" s="7"/>
      <c r="L201" s="13"/>
      <c r="M201" s="13"/>
      <c r="N201" s="7"/>
      <c r="O201" s="7"/>
      <c r="P201" s="8"/>
      <c r="Q201" s="8"/>
      <c r="R201" s="14"/>
      <c r="S201" s="11" t="str">
        <f aca="true">IF(R201="","",IF(TODAY()-R201&gt;14,"Обновить","Актуально"))</f>
        <v/>
      </c>
      <c r="T201" s="8"/>
    </row>
    <row r="202" customFormat="false" ht="15" hidden="false" customHeight="true" outlineLevel="0" collapsed="false">
      <c r="A202" s="11" t="str">
        <f aca="false">IF(B202="","",ROW()-2)</f>
        <v/>
      </c>
      <c r="B202" s="7"/>
      <c r="C202" s="8"/>
      <c r="D202" s="7"/>
      <c r="E202" s="7"/>
      <c r="F202" s="7"/>
      <c r="G202" s="12"/>
      <c r="H202" s="12"/>
      <c r="I202" s="8"/>
      <c r="J202" s="12"/>
      <c r="K202" s="7"/>
      <c r="L202" s="13"/>
      <c r="M202" s="13"/>
      <c r="N202" s="7"/>
      <c r="O202" s="7"/>
      <c r="P202" s="8"/>
      <c r="Q202" s="8"/>
      <c r="R202" s="14"/>
      <c r="S202" s="11" t="str">
        <f aca="true">IF(R202="","",IF(TODAY()-R202&gt;14,"Обновить","Актуально"))</f>
        <v/>
      </c>
      <c r="T202" s="8"/>
    </row>
  </sheetData>
  <autoFilter ref="A2:T202"/>
  <dataValidations count="6">
    <dataValidation allowBlank="true" errorStyle="stop" operator="between" showDropDown="false" showErrorMessage="false" showInputMessage="false" sqref="B3:B202" type="list">
      <formula1>Банки!$B$2:$B$40</formula1>
      <formula2>0</formula2>
    </dataValidation>
    <dataValidation allowBlank="true" errorStyle="stop" operator="between" showDropDown="false" showErrorMessage="false" showInputMessage="false" sqref="D3:D202" type="list">
      <formula1>Справочники!$A$2:$A$8</formula1>
      <formula2>0</formula2>
    </dataValidation>
    <dataValidation allowBlank="true" errorStyle="stop" operator="between" showDropDown="false" showErrorMessage="false" showInputMessage="false" sqref="E3:E202" type="list">
      <formula1>Справочники!$B$2:$B$4</formula1>
      <formula2>0</formula2>
    </dataValidation>
    <dataValidation allowBlank="true" errorStyle="stop" operator="between" showDropDown="false" showErrorMessage="false" showInputMessage="false" sqref="F3:F202" type="list">
      <formula1>Справочники!$C$2:$C$4</formula1>
      <formula2>0</formula2>
    </dataValidation>
    <dataValidation allowBlank="true" errorStyle="stop" operator="between" showDropDown="false" showErrorMessage="false" showInputMessage="false" sqref="N3:N202" type="list">
      <formula1>Справочники!$D$2:$D$4</formula1>
      <formula2>0</formula2>
    </dataValidation>
    <dataValidation allowBlank="true" errorStyle="stop" operator="between" showDropDown="false" showErrorMessage="false" showInputMessage="false" sqref="O3:O202" type="list">
      <formula1>Справочники!$D$2:$D$4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1" width="28"/>
  </cols>
  <sheetData>
    <row r="1" customFormat="false" ht="15" hidden="false" customHeight="true" outlineLevel="0" collapsed="false">
      <c r="A1" s="15" t="s">
        <v>65</v>
      </c>
      <c r="B1" s="15" t="s">
        <v>66</v>
      </c>
      <c r="C1" s="15" t="s">
        <v>67</v>
      </c>
      <c r="D1" s="15" t="s">
        <v>101</v>
      </c>
      <c r="E1" s="15" t="s">
        <v>102</v>
      </c>
      <c r="F1" s="15" t="s">
        <v>23</v>
      </c>
    </row>
    <row r="2" customFormat="false" ht="15" hidden="false" customHeight="true" outlineLevel="0" collapsed="false">
      <c r="A2" s="16" t="s">
        <v>103</v>
      </c>
      <c r="B2" s="16" t="s">
        <v>83</v>
      </c>
      <c r="C2" s="16" t="s">
        <v>84</v>
      </c>
      <c r="D2" s="16" t="s">
        <v>87</v>
      </c>
      <c r="E2" s="16" t="s">
        <v>87</v>
      </c>
      <c r="F2" s="16" t="s">
        <v>30</v>
      </c>
    </row>
    <row r="3" customFormat="false" ht="15" hidden="false" customHeight="true" outlineLevel="0" collapsed="false">
      <c r="A3" s="16" t="s">
        <v>104</v>
      </c>
      <c r="B3" s="16" t="s">
        <v>105</v>
      </c>
      <c r="C3" s="16" t="s">
        <v>106</v>
      </c>
      <c r="D3" s="16" t="s">
        <v>107</v>
      </c>
      <c r="E3" s="16" t="s">
        <v>107</v>
      </c>
      <c r="F3" s="16" t="s">
        <v>48</v>
      </c>
    </row>
    <row r="4" customFormat="false" ht="15" hidden="false" customHeight="true" outlineLevel="0" collapsed="false">
      <c r="A4" s="16" t="s">
        <v>108</v>
      </c>
      <c r="B4" s="16" t="s">
        <v>109</v>
      </c>
      <c r="C4" s="16" t="s">
        <v>110</v>
      </c>
      <c r="D4" s="16" t="s">
        <v>86</v>
      </c>
      <c r="E4" s="16" t="s">
        <v>31</v>
      </c>
    </row>
    <row r="5" customFormat="false" ht="15" hidden="false" customHeight="true" outlineLevel="0" collapsed="false">
      <c r="A5" s="16" t="s">
        <v>82</v>
      </c>
      <c r="E5" s="16" t="s">
        <v>111</v>
      </c>
    </row>
    <row r="6" customFormat="false" ht="15" hidden="false" customHeight="true" outlineLevel="0" collapsed="false">
      <c r="A6" s="16" t="s">
        <v>112</v>
      </c>
    </row>
    <row r="7" customFormat="false" ht="15" hidden="false" customHeight="true" outlineLevel="0" collapsed="false">
      <c r="A7" s="16" t="s">
        <v>113</v>
      </c>
    </row>
    <row r="8" customFormat="false" ht="15" hidden="false" customHeight="true" outlineLevel="0" collapsed="false">
      <c r="A8" s="16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38"/>
    <col collapsed="false" customWidth="true" hidden="false" outlineLevel="0" max="3" min="3" style="1" width="30"/>
    <col collapsed="false" customWidth="true" hidden="false" outlineLevel="0" max="4" min="4" style="1" width="54"/>
    <col collapsed="false" customWidth="true" hidden="false" outlineLevel="0" max="5" min="5" style="1" width="36"/>
  </cols>
  <sheetData>
    <row r="1" customFormat="false" ht="24" hidden="false" customHeight="true" outlineLevel="0" collapsed="false">
      <c r="A1" s="6" t="s">
        <v>115</v>
      </c>
      <c r="B1" s="6" t="s">
        <v>116</v>
      </c>
      <c r="C1" s="6" t="s">
        <v>117</v>
      </c>
      <c r="D1" s="6" t="s">
        <v>118</v>
      </c>
      <c r="E1" s="6" t="s">
        <v>119</v>
      </c>
    </row>
    <row r="2" customFormat="false" ht="66" hidden="false" customHeight="true" outlineLevel="0" collapsed="false">
      <c r="A2" s="8" t="s">
        <v>120</v>
      </c>
      <c r="B2" s="8" t="s">
        <v>121</v>
      </c>
      <c r="C2" s="8" t="s">
        <v>122</v>
      </c>
      <c r="D2" s="8" t="s">
        <v>123</v>
      </c>
      <c r="E2" s="8" t="s">
        <v>124</v>
      </c>
    </row>
    <row r="3" customFormat="false" ht="66" hidden="false" customHeight="true" outlineLevel="0" collapsed="false">
      <c r="A3" s="8" t="s">
        <v>125</v>
      </c>
      <c r="B3" s="8" t="s">
        <v>126</v>
      </c>
      <c r="C3" s="8" t="s">
        <v>127</v>
      </c>
      <c r="D3" s="8" t="s">
        <v>128</v>
      </c>
      <c r="E3" s="8" t="s">
        <v>129</v>
      </c>
    </row>
    <row r="4" customFormat="false" ht="66" hidden="false" customHeight="true" outlineLevel="0" collapsed="false">
      <c r="A4" s="8" t="s">
        <v>130</v>
      </c>
      <c r="B4" s="8" t="s">
        <v>131</v>
      </c>
      <c r="C4" s="8" t="s">
        <v>132</v>
      </c>
      <c r="D4" s="8" t="s">
        <v>133</v>
      </c>
      <c r="E4" s="8" t="s">
        <v>134</v>
      </c>
    </row>
    <row r="5" customFormat="false" ht="66" hidden="false" customHeight="true" outlineLevel="0" collapsed="false">
      <c r="A5" s="8" t="s">
        <v>135</v>
      </c>
      <c r="B5" s="8" t="s">
        <v>136</v>
      </c>
      <c r="C5" s="8" t="s">
        <v>137</v>
      </c>
      <c r="D5" s="8" t="s">
        <v>138</v>
      </c>
      <c r="E5" s="8" t="s">
        <v>139</v>
      </c>
    </row>
    <row r="6" customFormat="false" ht="66" hidden="false" customHeight="true" outlineLevel="0" collapsed="false">
      <c r="A6" s="8" t="s">
        <v>140</v>
      </c>
      <c r="B6" s="8" t="s">
        <v>141</v>
      </c>
      <c r="C6" s="8" t="s">
        <v>137</v>
      </c>
      <c r="D6" s="8" t="s">
        <v>142</v>
      </c>
      <c r="E6" s="8" t="s">
        <v>143</v>
      </c>
    </row>
    <row r="7" customFormat="false" ht="66" hidden="false" customHeight="true" outlineLevel="0" collapsed="false">
      <c r="A7" s="8" t="s">
        <v>144</v>
      </c>
      <c r="B7" s="8" t="s">
        <v>145</v>
      </c>
      <c r="C7" s="8" t="s">
        <v>146</v>
      </c>
      <c r="D7" s="8" t="s">
        <v>147</v>
      </c>
      <c r="E7" s="8" t="s">
        <v>148</v>
      </c>
    </row>
    <row r="9" customFormat="false" ht="15" hidden="false" customHeight="true" outlineLevel="0" collapsed="false">
      <c r="A9" s="3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2026-10-25T17:46:42Z</dcterms:created>
  <dc:creator>openpyxl</dc:creator>
  <dc:description/>
  <dc:language>en-US</dc:language>
  <cp:lastModifiedBy/>
  <dcterms:modified xsi:type="dcterms:W3CDTF">2026-10-25T22:33:05Z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